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F6F97A50-83FE-4B72-A4E9-B8EA04C5420A}" xr6:coauthVersionLast="47" xr6:coauthVersionMax="47" xr10:uidLastSave="{00000000-0000-0000-0000-000000000000}"/>
  <bookViews>
    <workbookView xWindow="-120" yWindow="-120" windowWidth="20730" windowHeight="11160" firstSheet="4" activeTab="12" xr2:uid="{680900B7-A964-478A-9A80-D6D605E91FFD}"/>
  </bookViews>
  <sheets>
    <sheet name="Январь1" sheetId="3" r:id="rId1"/>
    <sheet name="Февраль" sheetId="4" r:id="rId2"/>
    <sheet name="Март" sheetId="6" r:id="rId3"/>
    <sheet name="Апрель" sheetId="7" r:id="rId4"/>
    <sheet name="Май" sheetId="8" r:id="rId5"/>
    <sheet name="Июнь" sheetId="9" r:id="rId6"/>
    <sheet name="Июль" sheetId="10" r:id="rId7"/>
    <sheet name="Август" sheetId="11" r:id="rId8"/>
    <sheet name="Сентябрь" sheetId="12" r:id="rId9"/>
    <sheet name="Октябрь" sheetId="14" r:id="rId10"/>
    <sheet name="Ноябрь" sheetId="15" r:id="rId11"/>
    <sheet name="Декабрь" sheetId="16" r:id="rId12"/>
    <sheet name="Итоги за год" sheetId="18" r:id="rId13"/>
  </sheets>
  <externalReferences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8" l="1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" i="18"/>
  <c r="B2" i="18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6" i="3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2" i="16"/>
  <c r="F6" i="16"/>
  <c r="F2" i="16"/>
  <c r="F31" i="16"/>
  <c r="E31" i="16" a="1"/>
  <c r="E31" i="16" s="1"/>
  <c r="F30" i="16"/>
  <c r="E30" i="16" a="1"/>
  <c r="E30" i="16" s="1"/>
  <c r="F29" i="16"/>
  <c r="E29" i="16" a="1"/>
  <c r="E29" i="16" s="1"/>
  <c r="F28" i="16"/>
  <c r="E28" i="16" a="1"/>
  <c r="E28" i="16" s="1"/>
  <c r="F27" i="16"/>
  <c r="E27" i="16" a="1"/>
  <c r="E27" i="16" s="1"/>
  <c r="F26" i="16"/>
  <c r="E26" i="16" a="1"/>
  <c r="E26" i="16" s="1"/>
  <c r="F25" i="16"/>
  <c r="E25" i="16" a="1"/>
  <c r="E25" i="16" s="1"/>
  <c r="F24" i="16"/>
  <c r="E24" i="16" a="1"/>
  <c r="E24" i="16" s="1"/>
  <c r="F23" i="16"/>
  <c r="E23" i="16" a="1"/>
  <c r="E23" i="16" s="1"/>
  <c r="F22" i="16"/>
  <c r="E22" i="16" a="1"/>
  <c r="E22" i="16" s="1"/>
  <c r="F21" i="16"/>
  <c r="E21" i="16" a="1"/>
  <c r="E21" i="16" s="1"/>
  <c r="F20" i="16"/>
  <c r="E20" i="16" a="1"/>
  <c r="E20" i="16" s="1"/>
  <c r="F19" i="16"/>
  <c r="E19" i="16" a="1"/>
  <c r="E19" i="16" s="1"/>
  <c r="F18" i="16"/>
  <c r="E18" i="16" a="1"/>
  <c r="E18" i="16" s="1"/>
  <c r="F17" i="16"/>
  <c r="E17" i="16" a="1"/>
  <c r="E17" i="16" s="1"/>
  <c r="F16" i="16"/>
  <c r="E16" i="16" a="1"/>
  <c r="E16" i="16" s="1"/>
  <c r="F15" i="16"/>
  <c r="E15" i="16" a="1"/>
  <c r="E15" i="16" s="1"/>
  <c r="F14" i="16"/>
  <c r="E14" i="16" a="1"/>
  <c r="E14" i="16" s="1"/>
  <c r="F13" i="16"/>
  <c r="E13" i="16" a="1"/>
  <c r="E13" i="16" s="1"/>
  <c r="F12" i="16"/>
  <c r="E12" i="16" a="1"/>
  <c r="E12" i="16" s="1"/>
  <c r="F11" i="16"/>
  <c r="E11" i="16" a="1"/>
  <c r="E11" i="16" s="1"/>
  <c r="F10" i="16"/>
  <c r="E10" i="16" a="1"/>
  <c r="E10" i="16" s="1"/>
  <c r="F9" i="16"/>
  <c r="E9" i="16" a="1"/>
  <c r="E9" i="16" s="1"/>
  <c r="F8" i="16"/>
  <c r="E8" i="16" a="1"/>
  <c r="E8" i="16" s="1"/>
  <c r="F7" i="16"/>
  <c r="E7" i="16" a="1"/>
  <c r="E7" i="16" s="1"/>
  <c r="E6" i="16" a="1"/>
  <c r="E6" i="16" s="1"/>
  <c r="F5" i="16"/>
  <c r="E5" i="16" a="1"/>
  <c r="E5" i="16" s="1"/>
  <c r="F4" i="16"/>
  <c r="E4" i="16" a="1"/>
  <c r="E4" i="16" s="1"/>
  <c r="F3" i="16"/>
  <c r="E3" i="16" a="1"/>
  <c r="E3" i="16" s="1"/>
  <c r="E2" i="16" a="1"/>
  <c r="E2" i="16" s="1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2" i="15"/>
  <c r="F6" i="15"/>
  <c r="F5" i="15"/>
  <c r="F31" i="15"/>
  <c r="E31" i="15" a="1"/>
  <c r="E31" i="15" s="1"/>
  <c r="F30" i="15"/>
  <c r="E30" i="15" a="1"/>
  <c r="E30" i="15" s="1"/>
  <c r="F29" i="15"/>
  <c r="E29" i="15" a="1"/>
  <c r="E29" i="15" s="1"/>
  <c r="F28" i="15"/>
  <c r="E28" i="15" a="1"/>
  <c r="E28" i="15" s="1"/>
  <c r="F27" i="15"/>
  <c r="E27" i="15" a="1"/>
  <c r="E27" i="15" s="1"/>
  <c r="F26" i="15"/>
  <c r="E26" i="15" a="1"/>
  <c r="E26" i="15" s="1"/>
  <c r="F25" i="15"/>
  <c r="E25" i="15" a="1"/>
  <c r="E25" i="15" s="1"/>
  <c r="F24" i="15"/>
  <c r="E24" i="15" a="1"/>
  <c r="E24" i="15" s="1"/>
  <c r="F23" i="15"/>
  <c r="E23" i="15" a="1"/>
  <c r="E23" i="15" s="1"/>
  <c r="F22" i="15"/>
  <c r="E22" i="15" a="1"/>
  <c r="E22" i="15" s="1"/>
  <c r="F21" i="15"/>
  <c r="E21" i="15" a="1"/>
  <c r="E21" i="15" s="1"/>
  <c r="F20" i="15"/>
  <c r="E20" i="15" a="1"/>
  <c r="E20" i="15" s="1"/>
  <c r="F19" i="15"/>
  <c r="E19" i="15" a="1"/>
  <c r="E19" i="15" s="1"/>
  <c r="F18" i="15"/>
  <c r="E18" i="15" a="1"/>
  <c r="E18" i="15" s="1"/>
  <c r="F17" i="15"/>
  <c r="E17" i="15" a="1"/>
  <c r="E17" i="15" s="1"/>
  <c r="F16" i="15"/>
  <c r="E16" i="15" a="1"/>
  <c r="E16" i="15" s="1"/>
  <c r="F15" i="15"/>
  <c r="E15" i="15" a="1"/>
  <c r="E15" i="15" s="1"/>
  <c r="F14" i="15"/>
  <c r="E14" i="15" a="1"/>
  <c r="E14" i="15" s="1"/>
  <c r="F13" i="15"/>
  <c r="E13" i="15" a="1"/>
  <c r="E13" i="15" s="1"/>
  <c r="F12" i="15"/>
  <c r="E12" i="15" a="1"/>
  <c r="E12" i="15" s="1"/>
  <c r="F11" i="15"/>
  <c r="E11" i="15" a="1"/>
  <c r="E11" i="15" s="1"/>
  <c r="F10" i="15"/>
  <c r="E10" i="15" a="1"/>
  <c r="E10" i="15" s="1"/>
  <c r="F9" i="15"/>
  <c r="E9" i="15" a="1"/>
  <c r="E9" i="15" s="1"/>
  <c r="F8" i="15"/>
  <c r="E8" i="15" a="1"/>
  <c r="E8" i="15" s="1"/>
  <c r="F7" i="15"/>
  <c r="E7" i="15" a="1"/>
  <c r="E7" i="15" s="1"/>
  <c r="E6" i="15" a="1"/>
  <c r="E6" i="15" s="1"/>
  <c r="E5" i="15" a="1"/>
  <c r="E5" i="15" s="1"/>
  <c r="F4" i="15"/>
  <c r="E4" i="15" a="1"/>
  <c r="E4" i="15" s="1"/>
  <c r="F3" i="15"/>
  <c r="E3" i="15" a="1"/>
  <c r="E3" i="15" s="1"/>
  <c r="F2" i="15"/>
  <c r="E2" i="15" a="1"/>
  <c r="E2" i="15" s="1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2" i="14"/>
  <c r="F6" i="14"/>
  <c r="F4" i="14"/>
  <c r="F31" i="14"/>
  <c r="E31" i="14" a="1"/>
  <c r="E31" i="14" s="1"/>
  <c r="F30" i="14"/>
  <c r="E30" i="14" a="1"/>
  <c r="E30" i="14" s="1"/>
  <c r="F29" i="14"/>
  <c r="E29" i="14" a="1"/>
  <c r="E29" i="14" s="1"/>
  <c r="F28" i="14"/>
  <c r="E28" i="14" a="1"/>
  <c r="E28" i="14" s="1"/>
  <c r="F27" i="14"/>
  <c r="E27" i="14" a="1"/>
  <c r="E27" i="14" s="1"/>
  <c r="F26" i="14"/>
  <c r="E26" i="14" a="1"/>
  <c r="E26" i="14" s="1"/>
  <c r="F25" i="14"/>
  <c r="E25" i="14" a="1"/>
  <c r="E25" i="14" s="1"/>
  <c r="F24" i="14"/>
  <c r="E24" i="14" a="1"/>
  <c r="E24" i="14" s="1"/>
  <c r="F23" i="14"/>
  <c r="E23" i="14" a="1"/>
  <c r="E23" i="14" s="1"/>
  <c r="F22" i="14"/>
  <c r="E22" i="14" a="1"/>
  <c r="E22" i="14" s="1"/>
  <c r="F21" i="14"/>
  <c r="E21" i="14" a="1"/>
  <c r="E21" i="14" s="1"/>
  <c r="F20" i="14"/>
  <c r="E20" i="14" a="1"/>
  <c r="E20" i="14" s="1"/>
  <c r="F19" i="14"/>
  <c r="E19" i="14" a="1"/>
  <c r="E19" i="14" s="1"/>
  <c r="F18" i="14"/>
  <c r="E18" i="14" a="1"/>
  <c r="E18" i="14" s="1"/>
  <c r="F17" i="14"/>
  <c r="E17" i="14" a="1"/>
  <c r="E17" i="14" s="1"/>
  <c r="F16" i="14"/>
  <c r="E16" i="14" a="1"/>
  <c r="E16" i="14" s="1"/>
  <c r="F15" i="14"/>
  <c r="E15" i="14" a="1"/>
  <c r="E15" i="14" s="1"/>
  <c r="F14" i="14"/>
  <c r="E14" i="14" a="1"/>
  <c r="E14" i="14" s="1"/>
  <c r="F13" i="14"/>
  <c r="E13" i="14" a="1"/>
  <c r="E13" i="14" s="1"/>
  <c r="F12" i="14"/>
  <c r="E12" i="14" a="1"/>
  <c r="E12" i="14" s="1"/>
  <c r="F11" i="14"/>
  <c r="E11" i="14" a="1"/>
  <c r="E11" i="14" s="1"/>
  <c r="F10" i="14"/>
  <c r="E10" i="14" a="1"/>
  <c r="E10" i="14" s="1"/>
  <c r="F9" i="14"/>
  <c r="E9" i="14" a="1"/>
  <c r="E9" i="14" s="1"/>
  <c r="F8" i="14"/>
  <c r="E8" i="14" a="1"/>
  <c r="E8" i="14" s="1"/>
  <c r="F7" i="14"/>
  <c r="E7" i="14" a="1"/>
  <c r="E7" i="14" s="1"/>
  <c r="E6" i="14" a="1"/>
  <c r="E6" i="14" s="1"/>
  <c r="F5" i="14"/>
  <c r="E5" i="14" a="1"/>
  <c r="E5" i="14" s="1"/>
  <c r="E4" i="14" a="1"/>
  <c r="E4" i="14" s="1"/>
  <c r="F3" i="14"/>
  <c r="E3" i="14" a="1"/>
  <c r="E3" i="14" s="1"/>
  <c r="F2" i="14"/>
  <c r="E2" i="14" a="1"/>
  <c r="E2" i="14" s="1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2" i="12"/>
  <c r="F6" i="12"/>
  <c r="F4" i="12"/>
  <c r="F3" i="12"/>
  <c r="H3" i="12" s="1"/>
  <c r="J3" i="18" s="1"/>
  <c r="F31" i="12"/>
  <c r="E31" i="12" a="1"/>
  <c r="E31" i="12" s="1"/>
  <c r="F30" i="12"/>
  <c r="E30" i="12" a="1"/>
  <c r="E30" i="12" s="1"/>
  <c r="F29" i="12"/>
  <c r="E29" i="12" a="1"/>
  <c r="E29" i="12" s="1"/>
  <c r="F28" i="12"/>
  <c r="E28" i="12" a="1"/>
  <c r="E28" i="12" s="1"/>
  <c r="F27" i="12"/>
  <c r="E27" i="12" a="1"/>
  <c r="E27" i="12" s="1"/>
  <c r="F26" i="12"/>
  <c r="E26" i="12" a="1"/>
  <c r="E26" i="12" s="1"/>
  <c r="F25" i="12"/>
  <c r="E25" i="12" a="1"/>
  <c r="E25" i="12" s="1"/>
  <c r="F24" i="12"/>
  <c r="E24" i="12" a="1"/>
  <c r="E24" i="12" s="1"/>
  <c r="F23" i="12"/>
  <c r="E23" i="12" a="1"/>
  <c r="E23" i="12" s="1"/>
  <c r="F22" i="12"/>
  <c r="E22" i="12" a="1"/>
  <c r="E22" i="12" s="1"/>
  <c r="F21" i="12"/>
  <c r="E21" i="12" a="1"/>
  <c r="E21" i="12" s="1"/>
  <c r="F20" i="12"/>
  <c r="E20" i="12" a="1"/>
  <c r="E20" i="12" s="1"/>
  <c r="F19" i="12"/>
  <c r="E19" i="12" a="1"/>
  <c r="E19" i="12" s="1"/>
  <c r="F18" i="12"/>
  <c r="E18" i="12" a="1"/>
  <c r="E18" i="12" s="1"/>
  <c r="F17" i="12"/>
  <c r="E17" i="12" a="1"/>
  <c r="E17" i="12" s="1"/>
  <c r="F16" i="12"/>
  <c r="E16" i="12" a="1"/>
  <c r="E16" i="12" s="1"/>
  <c r="F15" i="12"/>
  <c r="E15" i="12" a="1"/>
  <c r="E15" i="12" s="1"/>
  <c r="F14" i="12"/>
  <c r="E14" i="12" a="1"/>
  <c r="E14" i="12" s="1"/>
  <c r="F13" i="12"/>
  <c r="E13" i="12" a="1"/>
  <c r="E13" i="12" s="1"/>
  <c r="F12" i="12"/>
  <c r="E12" i="12" a="1"/>
  <c r="E12" i="12" s="1"/>
  <c r="F11" i="12"/>
  <c r="E11" i="12" a="1"/>
  <c r="E11" i="12" s="1"/>
  <c r="F10" i="12"/>
  <c r="E10" i="12" a="1"/>
  <c r="E10" i="12" s="1"/>
  <c r="F9" i="12"/>
  <c r="E9" i="12" a="1"/>
  <c r="E9" i="12" s="1"/>
  <c r="F8" i="12"/>
  <c r="E8" i="12" a="1"/>
  <c r="E8" i="12" s="1"/>
  <c r="F7" i="12"/>
  <c r="E7" i="12" a="1"/>
  <c r="E7" i="12" s="1"/>
  <c r="E6" i="12" a="1"/>
  <c r="E6" i="12" s="1"/>
  <c r="F5" i="12"/>
  <c r="E5" i="12" a="1"/>
  <c r="E5" i="12" s="1"/>
  <c r="E4" i="12" a="1"/>
  <c r="E4" i="12" s="1"/>
  <c r="E3" i="12" a="1"/>
  <c r="E3" i="12" s="1"/>
  <c r="F2" i="12"/>
  <c r="E2" i="12" a="1"/>
  <c r="E2" i="12" s="1"/>
  <c r="F5" i="8"/>
  <c r="F31" i="8"/>
  <c r="F5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" i="3"/>
  <c r="F3" i="3"/>
  <c r="F4" i="3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2" i="7"/>
  <c r="F2" i="8"/>
  <c r="F3" i="8"/>
  <c r="F4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2" i="9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2" i="10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2" i="11"/>
  <c r="G31" i="11"/>
  <c r="E31" i="11" a="1"/>
  <c r="E31" i="11" s="1"/>
  <c r="G30" i="11"/>
  <c r="E30" i="11" a="1"/>
  <c r="E30" i="11" s="1"/>
  <c r="G29" i="11"/>
  <c r="E29" i="11" a="1"/>
  <c r="E29" i="11" s="1"/>
  <c r="G28" i="11"/>
  <c r="E28" i="11" a="1"/>
  <c r="E28" i="11" s="1"/>
  <c r="G27" i="11"/>
  <c r="E27" i="11" a="1"/>
  <c r="E27" i="11" s="1"/>
  <c r="G26" i="11"/>
  <c r="E26" i="11" a="1"/>
  <c r="E26" i="11" s="1"/>
  <c r="G25" i="11"/>
  <c r="E25" i="11" a="1"/>
  <c r="E25" i="11" s="1"/>
  <c r="G24" i="11"/>
  <c r="E24" i="11" a="1"/>
  <c r="E24" i="11" s="1"/>
  <c r="G23" i="11"/>
  <c r="E23" i="11" a="1"/>
  <c r="E23" i="11" s="1"/>
  <c r="G22" i="11"/>
  <c r="E22" i="11" a="1"/>
  <c r="E22" i="11" s="1"/>
  <c r="G21" i="11"/>
  <c r="E21" i="11" a="1"/>
  <c r="E21" i="11" s="1"/>
  <c r="G20" i="11"/>
  <c r="E20" i="11" a="1"/>
  <c r="E20" i="11" s="1"/>
  <c r="G19" i="11"/>
  <c r="E19" i="11" a="1"/>
  <c r="E19" i="11" s="1"/>
  <c r="G18" i="11"/>
  <c r="E18" i="11" a="1"/>
  <c r="E18" i="11" s="1"/>
  <c r="G17" i="11"/>
  <c r="E17" i="11" a="1"/>
  <c r="E17" i="11" s="1"/>
  <c r="G16" i="11"/>
  <c r="E16" i="11" a="1"/>
  <c r="E16" i="11" s="1"/>
  <c r="G15" i="11"/>
  <c r="E15" i="11" a="1"/>
  <c r="E15" i="11" s="1"/>
  <c r="G14" i="11"/>
  <c r="E14" i="11" a="1"/>
  <c r="E14" i="11" s="1"/>
  <c r="G13" i="11"/>
  <c r="E13" i="11" a="1"/>
  <c r="E13" i="11" s="1"/>
  <c r="G12" i="11"/>
  <c r="E12" i="11" a="1"/>
  <c r="E12" i="11" s="1"/>
  <c r="G11" i="11"/>
  <c r="E11" i="11" a="1"/>
  <c r="E11" i="11" s="1"/>
  <c r="G10" i="11"/>
  <c r="E10" i="11" a="1"/>
  <c r="E10" i="11" s="1"/>
  <c r="G9" i="11"/>
  <c r="E9" i="11" a="1"/>
  <c r="E9" i="11" s="1"/>
  <c r="G8" i="11"/>
  <c r="E8" i="11" a="1"/>
  <c r="E8" i="11" s="1"/>
  <c r="G7" i="11"/>
  <c r="E7" i="11" a="1"/>
  <c r="E7" i="11" s="1"/>
  <c r="G6" i="11"/>
  <c r="E6" i="11" a="1"/>
  <c r="E6" i="11" s="1"/>
  <c r="G5" i="11"/>
  <c r="E5" i="11" a="1"/>
  <c r="E5" i="11" s="1"/>
  <c r="G4" i="11"/>
  <c r="E4" i="11" a="1"/>
  <c r="E4" i="11" s="1"/>
  <c r="G3" i="11"/>
  <c r="E3" i="11" a="1"/>
  <c r="E3" i="11" s="1"/>
  <c r="G2" i="11"/>
  <c r="E2" i="11" a="1"/>
  <c r="E2" i="11" s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2" i="10"/>
  <c r="E31" i="10" a="1"/>
  <c r="E31" i="10" s="1"/>
  <c r="E30" i="10" a="1"/>
  <c r="E30" i="10" s="1"/>
  <c r="E29" i="10" a="1"/>
  <c r="E29" i="10" s="1"/>
  <c r="E28" i="10" a="1"/>
  <c r="E28" i="10" s="1"/>
  <c r="E27" i="10" a="1"/>
  <c r="E27" i="10" s="1"/>
  <c r="E26" i="10" a="1"/>
  <c r="E26" i="10" s="1"/>
  <c r="E25" i="10" a="1"/>
  <c r="E25" i="10" s="1"/>
  <c r="E24" i="10" a="1"/>
  <c r="E24" i="10" s="1"/>
  <c r="E23" i="10" a="1"/>
  <c r="E23" i="10" s="1"/>
  <c r="E22" i="10" a="1"/>
  <c r="E22" i="10" s="1"/>
  <c r="E21" i="10" a="1"/>
  <c r="E21" i="10" s="1"/>
  <c r="E20" i="10" a="1"/>
  <c r="E20" i="10" s="1"/>
  <c r="E19" i="10" a="1"/>
  <c r="E19" i="10" s="1"/>
  <c r="E18" i="10" a="1"/>
  <c r="E18" i="10" s="1"/>
  <c r="E17" i="10" a="1"/>
  <c r="E17" i="10" s="1"/>
  <c r="E16" i="10" a="1"/>
  <c r="E16" i="10" s="1"/>
  <c r="E15" i="10" a="1"/>
  <c r="E15" i="10" s="1"/>
  <c r="E14" i="10" a="1"/>
  <c r="E14" i="10" s="1"/>
  <c r="E13" i="10" a="1"/>
  <c r="E13" i="10" s="1"/>
  <c r="E12" i="10" a="1"/>
  <c r="E12" i="10" s="1"/>
  <c r="E11" i="10" a="1"/>
  <c r="E11" i="10" s="1"/>
  <c r="E10" i="10" a="1"/>
  <c r="E10" i="10" s="1"/>
  <c r="E9" i="10" a="1"/>
  <c r="E9" i="10" s="1"/>
  <c r="E8" i="10" a="1"/>
  <c r="E8" i="10" s="1"/>
  <c r="E7" i="10" a="1"/>
  <c r="E7" i="10" s="1"/>
  <c r="E6" i="10" a="1"/>
  <c r="E6" i="10" s="1"/>
  <c r="E5" i="10" a="1"/>
  <c r="E5" i="10" s="1"/>
  <c r="E4" i="10" a="1"/>
  <c r="E4" i="10" s="1"/>
  <c r="E3" i="10" a="1"/>
  <c r="E3" i="10" s="1"/>
  <c r="E2" i="10" a="1"/>
  <c r="E2" i="10" s="1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2" i="9"/>
  <c r="E31" i="9" a="1"/>
  <c r="E31" i="9" s="1"/>
  <c r="E30" i="9" a="1"/>
  <c r="E30" i="9" s="1"/>
  <c r="E29" i="9" a="1"/>
  <c r="E29" i="9" s="1"/>
  <c r="E28" i="9" a="1"/>
  <c r="E28" i="9" s="1"/>
  <c r="E27" i="9" a="1"/>
  <c r="E27" i="9" s="1"/>
  <c r="E26" i="9" a="1"/>
  <c r="E26" i="9" s="1"/>
  <c r="E25" i="9" a="1"/>
  <c r="E25" i="9" s="1"/>
  <c r="E24" i="9" a="1"/>
  <c r="E24" i="9" s="1"/>
  <c r="E23" i="9" a="1"/>
  <c r="E23" i="9" s="1"/>
  <c r="E22" i="9" a="1"/>
  <c r="E22" i="9" s="1"/>
  <c r="E21" i="9" a="1"/>
  <c r="E21" i="9" s="1"/>
  <c r="E20" i="9" a="1"/>
  <c r="E20" i="9" s="1"/>
  <c r="E19" i="9" a="1"/>
  <c r="E19" i="9" s="1"/>
  <c r="E18" i="9" a="1"/>
  <c r="E18" i="9" s="1"/>
  <c r="E17" i="9" a="1"/>
  <c r="E17" i="9" s="1"/>
  <c r="E16" i="9" a="1"/>
  <c r="E16" i="9" s="1"/>
  <c r="E15" i="9" a="1"/>
  <c r="E15" i="9" s="1"/>
  <c r="E14" i="9" a="1"/>
  <c r="E14" i="9" s="1"/>
  <c r="E13" i="9" a="1"/>
  <c r="E13" i="9" s="1"/>
  <c r="E12" i="9" a="1"/>
  <c r="E12" i="9" s="1"/>
  <c r="E11" i="9" a="1"/>
  <c r="E11" i="9" s="1"/>
  <c r="E10" i="9" a="1"/>
  <c r="E10" i="9" s="1"/>
  <c r="E9" i="9" a="1"/>
  <c r="E9" i="9" s="1"/>
  <c r="E8" i="9" a="1"/>
  <c r="E8" i="9" s="1"/>
  <c r="E7" i="9" a="1"/>
  <c r="E7" i="9" s="1"/>
  <c r="E6" i="9" a="1"/>
  <c r="E6" i="9" s="1"/>
  <c r="E5" i="9" a="1"/>
  <c r="E5" i="9" s="1"/>
  <c r="E4" i="9" a="1"/>
  <c r="E4" i="9" s="1"/>
  <c r="E3" i="9" a="1"/>
  <c r="E3" i="9" s="1"/>
  <c r="E2" i="9" a="1"/>
  <c r="E2" i="9" s="1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2" i="8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2" i="7"/>
  <c r="E31" i="8" a="1"/>
  <c r="E31" i="8" s="1"/>
  <c r="E30" i="8" a="1"/>
  <c r="E30" i="8" s="1"/>
  <c r="E29" i="8" a="1"/>
  <c r="E29" i="8" s="1"/>
  <c r="E28" i="8" a="1"/>
  <c r="E28" i="8" s="1"/>
  <c r="E27" i="8" a="1"/>
  <c r="E27" i="8" s="1"/>
  <c r="E26" i="8" a="1"/>
  <c r="E26" i="8" s="1"/>
  <c r="E25" i="8" a="1"/>
  <c r="E25" i="8" s="1"/>
  <c r="E24" i="8" a="1"/>
  <c r="E24" i="8" s="1"/>
  <c r="E23" i="8" a="1"/>
  <c r="E23" i="8" s="1"/>
  <c r="E22" i="8" a="1"/>
  <c r="E22" i="8" s="1"/>
  <c r="E21" i="8" a="1"/>
  <c r="E21" i="8" s="1"/>
  <c r="E20" i="8" a="1"/>
  <c r="E20" i="8" s="1"/>
  <c r="E19" i="8" a="1"/>
  <c r="E19" i="8" s="1"/>
  <c r="E18" i="8" a="1"/>
  <c r="E18" i="8" s="1"/>
  <c r="E17" i="8" a="1"/>
  <c r="E17" i="8" s="1"/>
  <c r="E16" i="8" a="1"/>
  <c r="E16" i="8" s="1"/>
  <c r="E15" i="8" a="1"/>
  <c r="E15" i="8" s="1"/>
  <c r="E14" i="8" a="1"/>
  <c r="E14" i="8" s="1"/>
  <c r="E13" i="8" a="1"/>
  <c r="E13" i="8" s="1"/>
  <c r="E12" i="8" a="1"/>
  <c r="E12" i="8" s="1"/>
  <c r="E11" i="8" a="1"/>
  <c r="E11" i="8" s="1"/>
  <c r="E10" i="8" a="1"/>
  <c r="E10" i="8" s="1"/>
  <c r="E9" i="8" a="1"/>
  <c r="E9" i="8" s="1"/>
  <c r="E8" i="8" a="1"/>
  <c r="E8" i="8" s="1"/>
  <c r="E7" i="8" a="1"/>
  <c r="E7" i="8" s="1"/>
  <c r="E6" i="8" a="1"/>
  <c r="E6" i="8" s="1"/>
  <c r="E5" i="8" a="1"/>
  <c r="E5" i="8" s="1"/>
  <c r="E4" i="8" a="1"/>
  <c r="E4" i="8" s="1"/>
  <c r="E3" i="8" a="1"/>
  <c r="E3" i="8" s="1"/>
  <c r="E2" i="8" a="1"/>
  <c r="E2" i="8" s="1"/>
  <c r="E31" i="7" a="1"/>
  <c r="E31" i="7" s="1"/>
  <c r="E30" i="7" a="1"/>
  <c r="E30" i="7" s="1"/>
  <c r="E29" i="7" a="1"/>
  <c r="E29" i="7" s="1"/>
  <c r="E28" i="7" a="1"/>
  <c r="E28" i="7" s="1"/>
  <c r="E27" i="7" a="1"/>
  <c r="E27" i="7" s="1"/>
  <c r="E26" i="7" a="1"/>
  <c r="E26" i="7" s="1"/>
  <c r="E25" i="7" a="1"/>
  <c r="E25" i="7" s="1"/>
  <c r="E24" i="7" a="1"/>
  <c r="E24" i="7" s="1"/>
  <c r="E23" i="7" a="1"/>
  <c r="E23" i="7" s="1"/>
  <c r="E22" i="7" a="1"/>
  <c r="E22" i="7" s="1"/>
  <c r="E21" i="7" a="1"/>
  <c r="E21" i="7" s="1"/>
  <c r="E20" i="7" a="1"/>
  <c r="E20" i="7" s="1"/>
  <c r="E19" i="7" a="1"/>
  <c r="E19" i="7" s="1"/>
  <c r="E18" i="7" a="1"/>
  <c r="E18" i="7" s="1"/>
  <c r="E17" i="7" a="1"/>
  <c r="E17" i="7" s="1"/>
  <c r="E16" i="7" a="1"/>
  <c r="E16" i="7" s="1"/>
  <c r="E15" i="7" a="1"/>
  <c r="E15" i="7" s="1"/>
  <c r="E14" i="7" a="1"/>
  <c r="E14" i="7" s="1"/>
  <c r="E13" i="7" a="1"/>
  <c r="E13" i="7" s="1"/>
  <c r="E12" i="7" a="1"/>
  <c r="E12" i="7" s="1"/>
  <c r="E11" i="7" a="1"/>
  <c r="E11" i="7" s="1"/>
  <c r="E10" i="7" a="1"/>
  <c r="E10" i="7" s="1"/>
  <c r="E9" i="7" a="1"/>
  <c r="E9" i="7" s="1"/>
  <c r="E8" i="7" a="1"/>
  <c r="E8" i="7" s="1"/>
  <c r="E7" i="7" a="1"/>
  <c r="E7" i="7" s="1"/>
  <c r="E6" i="7" a="1"/>
  <c r="E6" i="7" s="1"/>
  <c r="E5" i="7" a="1"/>
  <c r="E5" i="7" s="1"/>
  <c r="E4" i="7" a="1"/>
  <c r="E4" i="7" s="1"/>
  <c r="E3" i="7" a="1"/>
  <c r="E3" i="7" s="1"/>
  <c r="E2" i="7" a="1"/>
  <c r="E2" i="7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2" i="6"/>
  <c r="E31" i="6" a="1"/>
  <c r="E31" i="6" s="1"/>
  <c r="E30" i="6" a="1"/>
  <c r="E30" i="6" s="1"/>
  <c r="E29" i="6" a="1"/>
  <c r="E29" i="6" s="1"/>
  <c r="E28" i="6" a="1"/>
  <c r="E28" i="6" s="1"/>
  <c r="E27" i="6" a="1"/>
  <c r="E27" i="6" s="1"/>
  <c r="E26" i="6" a="1"/>
  <c r="E26" i="6" s="1"/>
  <c r="E25" i="6" a="1"/>
  <c r="E25" i="6" s="1"/>
  <c r="E24" i="6" a="1"/>
  <c r="E24" i="6" s="1"/>
  <c r="E23" i="6" a="1"/>
  <c r="E23" i="6" s="1"/>
  <c r="E22" i="6" a="1"/>
  <c r="E22" i="6" s="1"/>
  <c r="E21" i="6" a="1"/>
  <c r="E21" i="6" s="1"/>
  <c r="E20" i="6" a="1"/>
  <c r="E20" i="6" s="1"/>
  <c r="E19" i="6" a="1"/>
  <c r="E19" i="6" s="1"/>
  <c r="E18" i="6" a="1"/>
  <c r="E18" i="6" s="1"/>
  <c r="E17" i="6" a="1"/>
  <c r="E17" i="6" s="1"/>
  <c r="E16" i="6" a="1"/>
  <c r="E16" i="6" s="1"/>
  <c r="E15" i="6" a="1"/>
  <c r="E15" i="6" s="1"/>
  <c r="E14" i="6" a="1"/>
  <c r="E14" i="6" s="1"/>
  <c r="E13" i="6" a="1"/>
  <c r="E13" i="6" s="1"/>
  <c r="E12" i="6" a="1"/>
  <c r="E12" i="6" s="1"/>
  <c r="E11" i="6" a="1"/>
  <c r="E11" i="6" s="1"/>
  <c r="E10" i="6" a="1"/>
  <c r="E10" i="6" s="1"/>
  <c r="E9" i="6" a="1"/>
  <c r="E9" i="6" s="1"/>
  <c r="E8" i="6" a="1"/>
  <c r="E8" i="6" s="1"/>
  <c r="E7" i="6" a="1"/>
  <c r="E7" i="6" s="1"/>
  <c r="E6" i="6" a="1"/>
  <c r="E6" i="6" s="1"/>
  <c r="E5" i="6" a="1"/>
  <c r="E5" i="6" s="1"/>
  <c r="E4" i="6" a="1"/>
  <c r="E4" i="6" s="1"/>
  <c r="E3" i="6" a="1"/>
  <c r="E3" i="6" s="1"/>
  <c r="E2" i="6" a="1"/>
  <c r="E2" i="6" s="1"/>
  <c r="E31" i="4" a="1"/>
  <c r="E31" i="4" s="1"/>
  <c r="E30" i="4" a="1"/>
  <c r="E30" i="4" s="1"/>
  <c r="E29" i="4" a="1"/>
  <c r="E29" i="4" s="1"/>
  <c r="E28" i="4" a="1"/>
  <c r="E28" i="4" s="1"/>
  <c r="E27" i="4" a="1"/>
  <c r="E27" i="4" s="1"/>
  <c r="E26" i="4" a="1"/>
  <c r="E26" i="4" s="1"/>
  <c r="E25" i="4" a="1"/>
  <c r="E25" i="4" s="1"/>
  <c r="E24" i="4" a="1"/>
  <c r="E24" i="4" s="1"/>
  <c r="E23" i="4" a="1"/>
  <c r="E23" i="4" s="1"/>
  <c r="E22" i="4" a="1"/>
  <c r="E22" i="4" s="1"/>
  <c r="E21" i="4" a="1"/>
  <c r="E21" i="4" s="1"/>
  <c r="E20" i="4" a="1"/>
  <c r="E20" i="4" s="1"/>
  <c r="E19" i="4" a="1"/>
  <c r="E19" i="4" s="1"/>
  <c r="E18" i="4" a="1"/>
  <c r="E18" i="4" s="1"/>
  <c r="E17" i="4" a="1"/>
  <c r="E17" i="4" s="1"/>
  <c r="E16" i="4" a="1"/>
  <c r="E16" i="4" s="1"/>
  <c r="E15" i="4" a="1"/>
  <c r="E15" i="4" s="1"/>
  <c r="E14" i="4" a="1"/>
  <c r="E14" i="4" s="1"/>
  <c r="E13" i="4" a="1"/>
  <c r="E13" i="4" s="1"/>
  <c r="E12" i="4" a="1"/>
  <c r="E12" i="4" s="1"/>
  <c r="E11" i="4" a="1"/>
  <c r="E11" i="4" s="1"/>
  <c r="E10" i="4" a="1"/>
  <c r="E10" i="4" s="1"/>
  <c r="E9" i="4" a="1"/>
  <c r="E9" i="4" s="1"/>
  <c r="E8" i="4" a="1"/>
  <c r="E8" i="4" s="1"/>
  <c r="E7" i="4" a="1"/>
  <c r="E7" i="4" s="1"/>
  <c r="E6" i="4" a="1"/>
  <c r="E6" i="4" s="1"/>
  <c r="E5" i="4" a="1"/>
  <c r="E5" i="4" s="1"/>
  <c r="E4" i="4" a="1"/>
  <c r="E4" i="4" s="1"/>
  <c r="E3" i="4" a="1"/>
  <c r="E3" i="4" s="1"/>
  <c r="E2" i="4" a="1"/>
  <c r="E2" i="4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E3" i="3" a="1"/>
  <c r="E3" i="3" s="1"/>
  <c r="E4" i="3" a="1"/>
  <c r="E4" i="3" s="1"/>
  <c r="E5" i="3" a="1"/>
  <c r="E5" i="3" s="1"/>
  <c r="E6" i="3" a="1"/>
  <c r="E6" i="3" s="1"/>
  <c r="E7" i="3" a="1"/>
  <c r="E7" i="3" s="1"/>
  <c r="E8" i="3" a="1"/>
  <c r="E8" i="3" s="1"/>
  <c r="E9" i="3" a="1"/>
  <c r="E9" i="3" s="1"/>
  <c r="E10" i="3" a="1"/>
  <c r="E10" i="3" s="1"/>
  <c r="E11" i="3" a="1"/>
  <c r="E11" i="3" s="1"/>
  <c r="E12" i="3" a="1"/>
  <c r="E12" i="3" s="1"/>
  <c r="E13" i="3" a="1"/>
  <c r="E13" i="3" s="1"/>
  <c r="E14" i="3" a="1"/>
  <c r="E14" i="3" s="1"/>
  <c r="E15" i="3" a="1"/>
  <c r="E15" i="3" s="1"/>
  <c r="E16" i="3" a="1"/>
  <c r="E16" i="3" s="1"/>
  <c r="E17" i="3" a="1"/>
  <c r="E17" i="3" s="1"/>
  <c r="E18" i="3" a="1"/>
  <c r="E18" i="3" s="1"/>
  <c r="E19" i="3" a="1"/>
  <c r="E19" i="3" s="1"/>
  <c r="E20" i="3" a="1"/>
  <c r="E20" i="3" s="1"/>
  <c r="E21" i="3" a="1"/>
  <c r="E21" i="3" s="1"/>
  <c r="E22" i="3" a="1"/>
  <c r="E22" i="3" s="1"/>
  <c r="E23" i="3" a="1"/>
  <c r="E23" i="3" s="1"/>
  <c r="E24" i="3" a="1"/>
  <c r="E24" i="3" s="1"/>
  <c r="E25" i="3" a="1"/>
  <c r="E25" i="3" s="1"/>
  <c r="E26" i="3" a="1"/>
  <c r="E26" i="3" s="1"/>
  <c r="E27" i="3" a="1"/>
  <c r="E27" i="3" s="1"/>
  <c r="E28" i="3" a="1"/>
  <c r="E28" i="3" s="1"/>
  <c r="E29" i="3" a="1"/>
  <c r="E29" i="3" s="1"/>
  <c r="E30" i="3" a="1"/>
  <c r="E30" i="3" s="1"/>
  <c r="E31" i="3" a="1"/>
  <c r="E31" i="3" s="1"/>
  <c r="E2" i="3" a="1"/>
  <c r="E2" i="3" s="1"/>
  <c r="H6" i="16" l="1"/>
  <c r="M6" i="18" s="1"/>
  <c r="H2" i="16"/>
  <c r="M2" i="18" s="1"/>
  <c r="H10" i="15"/>
  <c r="L10" i="18" s="1"/>
  <c r="H18" i="15"/>
  <c r="L18" i="18" s="1"/>
  <c r="H20" i="16"/>
  <c r="M20" i="18" s="1"/>
  <c r="H28" i="16"/>
  <c r="M28" i="18" s="1"/>
  <c r="H26" i="15"/>
  <c r="L26" i="18" s="1"/>
  <c r="H26" i="16"/>
  <c r="M26" i="18" s="1"/>
  <c r="H5" i="15"/>
  <c r="L5" i="18" s="1"/>
  <c r="H25" i="16"/>
  <c r="M25" i="18" s="1"/>
  <c r="H12" i="16"/>
  <c r="M12" i="18" s="1"/>
  <c r="H10" i="16"/>
  <c r="M10" i="18" s="1"/>
  <c r="H18" i="16"/>
  <c r="M18" i="18" s="1"/>
  <c r="H6" i="15"/>
  <c r="L6" i="18" s="1"/>
  <c r="H22" i="16"/>
  <c r="M22" i="18" s="1"/>
  <c r="H27" i="16"/>
  <c r="M27" i="18" s="1"/>
  <c r="H23" i="16"/>
  <c r="M23" i="18" s="1"/>
  <c r="H9" i="16"/>
  <c r="M9" i="18" s="1"/>
  <c r="H11" i="16"/>
  <c r="M11" i="18" s="1"/>
  <c r="H21" i="16"/>
  <c r="M21" i="18" s="1"/>
  <c r="H19" i="16"/>
  <c r="M19" i="18" s="1"/>
  <c r="H5" i="16"/>
  <c r="M5" i="18" s="1"/>
  <c r="H7" i="16"/>
  <c r="M7" i="18" s="1"/>
  <c r="H13" i="16"/>
  <c r="M13" i="18" s="1"/>
  <c r="H24" i="16"/>
  <c r="M24" i="18" s="1"/>
  <c r="H30" i="16"/>
  <c r="M30" i="18" s="1"/>
  <c r="H15" i="16"/>
  <c r="M15" i="18" s="1"/>
  <c r="H3" i="16"/>
  <c r="M3" i="18" s="1"/>
  <c r="H16" i="16"/>
  <c r="M16" i="18" s="1"/>
  <c r="H8" i="16"/>
  <c r="M8" i="18" s="1"/>
  <c r="H14" i="16"/>
  <c r="M14" i="18" s="1"/>
  <c r="H31" i="16"/>
  <c r="M31" i="18" s="1"/>
  <c r="H4" i="16"/>
  <c r="M4" i="18" s="1"/>
  <c r="H17" i="16"/>
  <c r="M17" i="18" s="1"/>
  <c r="H29" i="16"/>
  <c r="M29" i="18" s="1"/>
  <c r="H12" i="15"/>
  <c r="L12" i="18" s="1"/>
  <c r="H28" i="15"/>
  <c r="L28" i="18" s="1"/>
  <c r="H13" i="15"/>
  <c r="L13" i="18" s="1"/>
  <c r="H21" i="15"/>
  <c r="L21" i="18" s="1"/>
  <c r="H30" i="15"/>
  <c r="L30" i="18" s="1"/>
  <c r="H3" i="15"/>
  <c r="L3" i="18" s="1"/>
  <c r="H9" i="15"/>
  <c r="L9" i="18" s="1"/>
  <c r="H16" i="15"/>
  <c r="L16" i="18" s="1"/>
  <c r="H25" i="15"/>
  <c r="L25" i="18" s="1"/>
  <c r="H6" i="14"/>
  <c r="K6" i="18" s="1"/>
  <c r="H4" i="15"/>
  <c r="L4" i="18" s="1"/>
  <c r="H2" i="15"/>
  <c r="L2" i="18" s="1"/>
  <c r="H8" i="15"/>
  <c r="L8" i="18" s="1"/>
  <c r="H17" i="15"/>
  <c r="L17" i="18" s="1"/>
  <c r="H24" i="15"/>
  <c r="L24" i="18" s="1"/>
  <c r="H31" i="15"/>
  <c r="L31" i="18" s="1"/>
  <c r="H20" i="15"/>
  <c r="L20" i="18" s="1"/>
  <c r="H29" i="15"/>
  <c r="L29" i="18" s="1"/>
  <c r="H14" i="15"/>
  <c r="L14" i="18" s="1"/>
  <c r="H22" i="15"/>
  <c r="L22" i="18" s="1"/>
  <c r="H11" i="15"/>
  <c r="L11" i="18" s="1"/>
  <c r="H19" i="15"/>
  <c r="L19" i="18" s="1"/>
  <c r="H27" i="15"/>
  <c r="L27" i="18" s="1"/>
  <c r="H7" i="15"/>
  <c r="L7" i="18" s="1"/>
  <c r="H15" i="15"/>
  <c r="L15" i="18" s="1"/>
  <c r="H23" i="15"/>
  <c r="L23" i="18" s="1"/>
  <c r="H4" i="14"/>
  <c r="K4" i="18" s="1"/>
  <c r="H28" i="14"/>
  <c r="K28" i="18" s="1"/>
  <c r="H21" i="14"/>
  <c r="K21" i="18" s="1"/>
  <c r="H19" i="14"/>
  <c r="K19" i="18" s="1"/>
  <c r="H18" i="14"/>
  <c r="K18" i="18" s="1"/>
  <c r="H5" i="14"/>
  <c r="K5" i="18" s="1"/>
  <c r="H12" i="14"/>
  <c r="K12" i="18" s="1"/>
  <c r="H30" i="14"/>
  <c r="K30" i="18" s="1"/>
  <c r="H20" i="14"/>
  <c r="K20" i="18" s="1"/>
  <c r="H27" i="14"/>
  <c r="K27" i="18" s="1"/>
  <c r="H23" i="14"/>
  <c r="K23" i="18" s="1"/>
  <c r="H8" i="14"/>
  <c r="K8" i="18" s="1"/>
  <c r="H11" i="14"/>
  <c r="K11" i="18" s="1"/>
  <c r="H26" i="14"/>
  <c r="K26" i="18" s="1"/>
  <c r="H3" i="14"/>
  <c r="K3" i="18" s="1"/>
  <c r="H9" i="14"/>
  <c r="K9" i="18" s="1"/>
  <c r="H29" i="14"/>
  <c r="K29" i="18" s="1"/>
  <c r="H14" i="14"/>
  <c r="K14" i="18" s="1"/>
  <c r="H25" i="14"/>
  <c r="K25" i="18" s="1"/>
  <c r="H10" i="14"/>
  <c r="K10" i="18" s="1"/>
  <c r="H17" i="14"/>
  <c r="K17" i="18" s="1"/>
  <c r="H15" i="14"/>
  <c r="K15" i="18" s="1"/>
  <c r="H24" i="14"/>
  <c r="K24" i="18" s="1"/>
  <c r="H13" i="14"/>
  <c r="K13" i="18" s="1"/>
  <c r="H22" i="14"/>
  <c r="K22" i="18" s="1"/>
  <c r="H31" i="14"/>
  <c r="K31" i="18" s="1"/>
  <c r="H2" i="14"/>
  <c r="K2" i="18" s="1"/>
  <c r="H7" i="14"/>
  <c r="K7" i="18" s="1"/>
  <c r="H16" i="14"/>
  <c r="K16" i="18" s="1"/>
  <c r="H26" i="12"/>
  <c r="J26" i="18" s="1"/>
  <c r="H6" i="12"/>
  <c r="J6" i="18" s="1"/>
  <c r="H10" i="12"/>
  <c r="J10" i="18" s="1"/>
  <c r="H7" i="12"/>
  <c r="J7" i="18" s="1"/>
  <c r="H18" i="12"/>
  <c r="J18" i="18" s="1"/>
  <c r="H5" i="12"/>
  <c r="J5" i="18" s="1"/>
  <c r="H11" i="12"/>
  <c r="J11" i="18" s="1"/>
  <c r="H19" i="12"/>
  <c r="J19" i="18" s="1"/>
  <c r="H27" i="12"/>
  <c r="J27" i="18" s="1"/>
  <c r="H31" i="12"/>
  <c r="J31" i="18" s="1"/>
  <c r="H14" i="12"/>
  <c r="J14" i="18" s="1"/>
  <c r="H4" i="12"/>
  <c r="J4" i="18" s="1"/>
  <c r="H8" i="12"/>
  <c r="J8" i="18" s="1"/>
  <c r="H9" i="12"/>
  <c r="J9" i="18" s="1"/>
  <c r="H12" i="12"/>
  <c r="J12" i="18" s="1"/>
  <c r="H2" i="12"/>
  <c r="J2" i="18" s="1"/>
  <c r="H15" i="12"/>
  <c r="J15" i="18" s="1"/>
  <c r="H23" i="12"/>
  <c r="J23" i="18" s="1"/>
  <c r="H17" i="12"/>
  <c r="J17" i="18" s="1"/>
  <c r="H22" i="12"/>
  <c r="J22" i="18" s="1"/>
  <c r="H25" i="12"/>
  <c r="J25" i="18" s="1"/>
  <c r="H13" i="12"/>
  <c r="J13" i="18" s="1"/>
  <c r="H24" i="12"/>
  <c r="J24" i="18" s="1"/>
  <c r="H28" i="12"/>
  <c r="J28" i="18" s="1"/>
  <c r="H30" i="12"/>
  <c r="J30" i="18" s="1"/>
  <c r="H16" i="12"/>
  <c r="J16" i="18" s="1"/>
  <c r="H20" i="12"/>
  <c r="J20" i="18" s="1"/>
  <c r="H29" i="12"/>
  <c r="J29" i="18" s="1"/>
  <c r="H21" i="12"/>
  <c r="J21" i="18" s="1"/>
  <c r="H6" i="11"/>
  <c r="I6" i="18" s="1"/>
  <c r="H5" i="11"/>
  <c r="I5" i="18" s="1"/>
  <c r="H9" i="11"/>
  <c r="I9" i="18" s="1"/>
  <c r="H13" i="11"/>
  <c r="I13" i="18" s="1"/>
  <c r="H10" i="11"/>
  <c r="I10" i="18" s="1"/>
  <c r="H18" i="11"/>
  <c r="I18" i="18" s="1"/>
  <c r="H22" i="11"/>
  <c r="I22" i="18" s="1"/>
  <c r="H30" i="11"/>
  <c r="I30" i="18" s="1"/>
  <c r="H29" i="11"/>
  <c r="I29" i="18" s="1"/>
  <c r="H27" i="11"/>
  <c r="I27" i="18" s="1"/>
  <c r="H31" i="11"/>
  <c r="I31" i="18" s="1"/>
  <c r="H17" i="11"/>
  <c r="I17" i="18" s="1"/>
  <c r="H11" i="11"/>
  <c r="I11" i="18" s="1"/>
  <c r="H19" i="11"/>
  <c r="I19" i="18" s="1"/>
  <c r="H4" i="11"/>
  <c r="I4" i="18" s="1"/>
  <c r="H8" i="11"/>
  <c r="I8" i="18" s="1"/>
  <c r="H20" i="11"/>
  <c r="I20" i="18" s="1"/>
  <c r="H28" i="11"/>
  <c r="I28" i="18" s="1"/>
  <c r="H24" i="11"/>
  <c r="I24" i="18" s="1"/>
  <c r="H3" i="11"/>
  <c r="I3" i="18" s="1"/>
  <c r="H7" i="11"/>
  <c r="I7" i="18" s="1"/>
  <c r="H21" i="11"/>
  <c r="I21" i="18" s="1"/>
  <c r="H25" i="11"/>
  <c r="I25" i="18" s="1"/>
  <c r="H23" i="11"/>
  <c r="I23" i="18" s="1"/>
  <c r="H2" i="11"/>
  <c r="I2" i="18" s="1"/>
  <c r="H16" i="11"/>
  <c r="I16" i="18" s="1"/>
  <c r="H26" i="11"/>
  <c r="I26" i="18" s="1"/>
  <c r="H14" i="11"/>
  <c r="I14" i="18" s="1"/>
  <c r="H12" i="11"/>
  <c r="I12" i="18" s="1"/>
  <c r="H15" i="11"/>
  <c r="I15" i="18" s="1"/>
  <c r="H30" i="10"/>
  <c r="H30" i="18" s="1"/>
  <c r="H13" i="10"/>
  <c r="H13" i="18" s="1"/>
  <c r="H9" i="10"/>
  <c r="H9" i="18" s="1"/>
  <c r="H25" i="10"/>
  <c r="H25" i="18" s="1"/>
  <c r="H5" i="10"/>
  <c r="H5" i="18" s="1"/>
  <c r="H26" i="10"/>
  <c r="H26" i="18" s="1"/>
  <c r="H3" i="10"/>
  <c r="H3" i="18" s="1"/>
  <c r="H7" i="10"/>
  <c r="H7" i="18" s="1"/>
  <c r="H29" i="10"/>
  <c r="H29" i="18" s="1"/>
  <c r="H27" i="10"/>
  <c r="H27" i="18" s="1"/>
  <c r="H31" i="10"/>
  <c r="H31" i="18" s="1"/>
  <c r="H4" i="10"/>
  <c r="H4" i="18" s="1"/>
  <c r="H8" i="10"/>
  <c r="H8" i="18" s="1"/>
  <c r="H20" i="10"/>
  <c r="H20" i="18" s="1"/>
  <c r="H28" i="10"/>
  <c r="H28" i="18" s="1"/>
  <c r="H17" i="10"/>
  <c r="H17" i="18" s="1"/>
  <c r="H18" i="10"/>
  <c r="H18" i="18" s="1"/>
  <c r="H19" i="10"/>
  <c r="H19" i="18" s="1"/>
  <c r="H24" i="10"/>
  <c r="H24" i="18" s="1"/>
  <c r="H2" i="10"/>
  <c r="H2" i="18" s="1"/>
  <c r="H21" i="10"/>
  <c r="H21" i="18" s="1"/>
  <c r="H10" i="10"/>
  <c r="H10" i="18" s="1"/>
  <c r="H14" i="10"/>
  <c r="H14" i="18" s="1"/>
  <c r="H22" i="10"/>
  <c r="H22" i="18" s="1"/>
  <c r="H11" i="10"/>
  <c r="H11" i="18" s="1"/>
  <c r="H15" i="10"/>
  <c r="H15" i="18" s="1"/>
  <c r="H23" i="10"/>
  <c r="H23" i="18" s="1"/>
  <c r="H12" i="10"/>
  <c r="H12" i="18" s="1"/>
  <c r="H16" i="10"/>
  <c r="H16" i="18" s="1"/>
  <c r="H6" i="10"/>
  <c r="H6" i="18" s="1"/>
  <c r="H20" i="9"/>
  <c r="G20" i="18" s="1"/>
  <c r="H19" i="9"/>
  <c r="G19" i="18" s="1"/>
  <c r="H23" i="9"/>
  <c r="G23" i="18" s="1"/>
  <c r="H27" i="9"/>
  <c r="G27" i="18" s="1"/>
  <c r="H31" i="9"/>
  <c r="G31" i="18" s="1"/>
  <c r="H24" i="9"/>
  <c r="G24" i="18" s="1"/>
  <c r="H18" i="9"/>
  <c r="G18" i="18" s="1"/>
  <c r="H22" i="9"/>
  <c r="G22" i="18" s="1"/>
  <c r="H25" i="9"/>
  <c r="G25" i="18" s="1"/>
  <c r="H29" i="9"/>
  <c r="G29" i="18" s="1"/>
  <c r="H26" i="9"/>
  <c r="G26" i="18" s="1"/>
  <c r="H30" i="9"/>
  <c r="G30" i="18" s="1"/>
  <c r="H4" i="9"/>
  <c r="G4" i="18" s="1"/>
  <c r="H8" i="9"/>
  <c r="G8" i="18" s="1"/>
  <c r="H12" i="9"/>
  <c r="G12" i="18" s="1"/>
  <c r="H16" i="9"/>
  <c r="G16" i="18" s="1"/>
  <c r="H2" i="9"/>
  <c r="G2" i="18" s="1"/>
  <c r="H6" i="9"/>
  <c r="G6" i="18" s="1"/>
  <c r="H5" i="8"/>
  <c r="F5" i="18" s="1"/>
  <c r="H11" i="9"/>
  <c r="G11" i="18" s="1"/>
  <c r="H15" i="9"/>
  <c r="G15" i="18" s="1"/>
  <c r="H5" i="9"/>
  <c r="G5" i="18" s="1"/>
  <c r="H9" i="9"/>
  <c r="G9" i="18" s="1"/>
  <c r="H13" i="9"/>
  <c r="G13" i="18" s="1"/>
  <c r="H28" i="8"/>
  <c r="F28" i="18" s="1"/>
  <c r="H30" i="8"/>
  <c r="F30" i="18" s="1"/>
  <c r="H3" i="9"/>
  <c r="G3" i="18" s="1"/>
  <c r="H7" i="9"/>
  <c r="G7" i="18" s="1"/>
  <c r="H10" i="9"/>
  <c r="G10" i="18" s="1"/>
  <c r="H14" i="9"/>
  <c r="G14" i="18" s="1"/>
  <c r="H17" i="9"/>
  <c r="G17" i="18" s="1"/>
  <c r="H21" i="9"/>
  <c r="G21" i="18" s="1"/>
  <c r="H28" i="9"/>
  <c r="G28" i="18" s="1"/>
  <c r="H11" i="8"/>
  <c r="F11" i="18" s="1"/>
  <c r="H9" i="8"/>
  <c r="F9" i="18" s="1"/>
  <c r="H13" i="8"/>
  <c r="F13" i="18" s="1"/>
  <c r="H17" i="8"/>
  <c r="F17" i="18" s="1"/>
  <c r="H15" i="8"/>
  <c r="F15" i="18" s="1"/>
  <c r="H27" i="8"/>
  <c r="F27" i="18" s="1"/>
  <c r="H31" i="8"/>
  <c r="F31" i="18" s="1"/>
  <c r="H12" i="8"/>
  <c r="F12" i="18" s="1"/>
  <c r="H16" i="8"/>
  <c r="F16" i="18" s="1"/>
  <c r="H14" i="8"/>
  <c r="F14" i="18" s="1"/>
  <c r="H22" i="8"/>
  <c r="F22" i="18" s="1"/>
  <c r="H2" i="8"/>
  <c r="F2" i="18" s="1"/>
  <c r="H29" i="8"/>
  <c r="F29" i="18" s="1"/>
  <c r="H19" i="8"/>
  <c r="F19" i="18" s="1"/>
  <c r="H3" i="8"/>
  <c r="F3" i="18" s="1"/>
  <c r="H10" i="8"/>
  <c r="F10" i="18" s="1"/>
  <c r="H21" i="8"/>
  <c r="F21" i="18" s="1"/>
  <c r="H25" i="8"/>
  <c r="F25" i="18" s="1"/>
  <c r="H23" i="8"/>
  <c r="F23" i="18" s="1"/>
  <c r="H20" i="8"/>
  <c r="F20" i="18" s="1"/>
  <c r="H24" i="8"/>
  <c r="F24" i="18" s="1"/>
  <c r="H16" i="7"/>
  <c r="E16" i="18" s="1"/>
  <c r="H18" i="8"/>
  <c r="F18" i="18" s="1"/>
  <c r="H29" i="7"/>
  <c r="E29" i="18" s="1"/>
  <c r="H6" i="8"/>
  <c r="F6" i="18" s="1"/>
  <c r="H26" i="8"/>
  <c r="F26" i="18" s="1"/>
  <c r="H4" i="8"/>
  <c r="F4" i="18" s="1"/>
  <c r="H7" i="8"/>
  <c r="F7" i="18" s="1"/>
  <c r="H8" i="8"/>
  <c r="F8" i="18" s="1"/>
  <c r="H11" i="7"/>
  <c r="E11" i="18" s="1"/>
  <c r="H15" i="7"/>
  <c r="E15" i="18" s="1"/>
  <c r="H20" i="7"/>
  <c r="E20" i="18" s="1"/>
  <c r="H2" i="7"/>
  <c r="E2" i="18" s="1"/>
  <c r="H6" i="7"/>
  <c r="E6" i="18" s="1"/>
  <c r="H9" i="7"/>
  <c r="E9" i="18" s="1"/>
  <c r="H19" i="7"/>
  <c r="E19" i="18" s="1"/>
  <c r="H23" i="7"/>
  <c r="E23" i="18" s="1"/>
  <c r="H27" i="7"/>
  <c r="E27" i="18" s="1"/>
  <c r="H31" i="7"/>
  <c r="E31" i="18" s="1"/>
  <c r="H28" i="7"/>
  <c r="E28" i="18" s="1"/>
  <c r="H17" i="7"/>
  <c r="E17" i="18" s="1"/>
  <c r="H10" i="7"/>
  <c r="E10" i="18" s="1"/>
  <c r="H3" i="7"/>
  <c r="E3" i="18" s="1"/>
  <c r="H7" i="7"/>
  <c r="E7" i="18" s="1"/>
  <c r="H18" i="7"/>
  <c r="E18" i="18" s="1"/>
  <c r="H26" i="7"/>
  <c r="E26" i="18" s="1"/>
  <c r="H30" i="7"/>
  <c r="E30" i="18" s="1"/>
  <c r="H25" i="7"/>
  <c r="E25" i="18" s="1"/>
  <c r="H8" i="7"/>
  <c r="E8" i="18" s="1"/>
  <c r="H24" i="7"/>
  <c r="E24" i="18" s="1"/>
  <c r="H5" i="7"/>
  <c r="E5" i="18" s="1"/>
  <c r="H14" i="7"/>
  <c r="E14" i="18" s="1"/>
  <c r="H12" i="7"/>
  <c r="E12" i="18" s="1"/>
  <c r="H21" i="7"/>
  <c r="E21" i="18" s="1"/>
  <c r="H4" i="7"/>
  <c r="E4" i="18" s="1"/>
  <c r="H13" i="7"/>
  <c r="E13" i="18" s="1"/>
  <c r="H22" i="7"/>
  <c r="E22" i="18" s="1"/>
  <c r="H25" i="3"/>
  <c r="H17" i="3"/>
  <c r="H9" i="3"/>
  <c r="H26" i="3"/>
  <c r="H24" i="4"/>
  <c r="C24" i="18" s="1"/>
  <c r="H20" i="4"/>
  <c r="C20" i="18" s="1"/>
  <c r="H12" i="4"/>
  <c r="C12" i="18" s="1"/>
  <c r="H4" i="4"/>
  <c r="C4" i="18" s="1"/>
  <c r="H19" i="4"/>
  <c r="C19" i="18" s="1"/>
  <c r="H11" i="4"/>
  <c r="C11" i="18" s="1"/>
  <c r="H3" i="4"/>
  <c r="C3" i="18" s="1"/>
  <c r="H28" i="4"/>
  <c r="C28" i="18" s="1"/>
  <c r="H29" i="3"/>
  <c r="H21" i="3"/>
  <c r="H13" i="3"/>
  <c r="H5" i="3"/>
  <c r="H29" i="4"/>
  <c r="C29" i="18" s="1"/>
  <c r="H18" i="3"/>
  <c r="H10" i="3"/>
  <c r="H27" i="4"/>
  <c r="C27" i="18" s="1"/>
  <c r="H31" i="3"/>
  <c r="H23" i="3"/>
  <c r="H9" i="4"/>
  <c r="C9" i="18" s="1"/>
  <c r="H17" i="4"/>
  <c r="C17" i="18" s="1"/>
  <c r="H10" i="4"/>
  <c r="C10" i="18" s="1"/>
  <c r="H18" i="4"/>
  <c r="C18" i="18" s="1"/>
  <c r="H26" i="4"/>
  <c r="C26" i="18" s="1"/>
  <c r="H7" i="4"/>
  <c r="C7" i="18" s="1"/>
  <c r="H21" i="4"/>
  <c r="C21" i="18" s="1"/>
  <c r="H25" i="4"/>
  <c r="C25" i="18" s="1"/>
  <c r="H15" i="4"/>
  <c r="C15" i="18" s="1"/>
  <c r="H30" i="4"/>
  <c r="C30" i="18" s="1"/>
  <c r="H16" i="4"/>
  <c r="C16" i="18" s="1"/>
  <c r="H6" i="4"/>
  <c r="C6" i="18" s="1"/>
  <c r="H24" i="3"/>
  <c r="H15" i="3"/>
  <c r="H30" i="3"/>
  <c r="H22" i="3"/>
  <c r="H14" i="3"/>
  <c r="H6" i="3"/>
  <c r="H16" i="3"/>
  <c r="H8" i="3"/>
  <c r="H2" i="3"/>
  <c r="H2" i="4"/>
  <c r="H8" i="4"/>
  <c r="C8" i="18" s="1"/>
  <c r="H13" i="4"/>
  <c r="C13" i="18" s="1"/>
  <c r="H22" i="4"/>
  <c r="C22" i="18" s="1"/>
  <c r="H31" i="4"/>
  <c r="C31" i="18" s="1"/>
  <c r="H5" i="4"/>
  <c r="C5" i="18" s="1"/>
  <c r="H14" i="4"/>
  <c r="C14" i="18" s="1"/>
  <c r="H23" i="4"/>
  <c r="C23" i="18" s="1"/>
  <c r="H28" i="3"/>
  <c r="H20" i="3"/>
  <c r="H12" i="3"/>
  <c r="H4" i="3"/>
  <c r="H27" i="3"/>
  <c r="H19" i="3"/>
  <c r="H11" i="3"/>
  <c r="H3" i="3"/>
  <c r="H7" i="3"/>
  <c r="H2" i="6"/>
  <c r="H6" i="6"/>
  <c r="D6" i="18" s="1"/>
  <c r="H28" i="6"/>
  <c r="D28" i="18" s="1"/>
  <c r="H4" i="6"/>
  <c r="D4" i="18" s="1"/>
  <c r="H7" i="6"/>
  <c r="D7" i="18" s="1"/>
  <c r="H26" i="6"/>
  <c r="D26" i="18" s="1"/>
  <c r="H12" i="6"/>
  <c r="D12" i="18" s="1"/>
  <c r="H14" i="6"/>
  <c r="D14" i="18" s="1"/>
  <c r="H16" i="6"/>
  <c r="D16" i="18" s="1"/>
  <c r="H17" i="6"/>
  <c r="D17" i="18" s="1"/>
  <c r="H30" i="6"/>
  <c r="D30" i="18" s="1"/>
  <c r="H27" i="6"/>
  <c r="D27" i="18" s="1"/>
  <c r="H31" i="6"/>
  <c r="D31" i="18" s="1"/>
  <c r="H3" i="6"/>
  <c r="D3" i="18" s="1"/>
  <c r="H8" i="6"/>
  <c r="D8" i="18" s="1"/>
  <c r="H13" i="6"/>
  <c r="D13" i="18" s="1"/>
  <c r="H18" i="6"/>
  <c r="D18" i="18" s="1"/>
  <c r="H29" i="6"/>
  <c r="D29" i="18" s="1"/>
  <c r="H10" i="6"/>
  <c r="D10" i="18" s="1"/>
  <c r="H5" i="6"/>
  <c r="D5" i="18" s="1"/>
  <c r="H9" i="6"/>
  <c r="D9" i="18" s="1"/>
  <c r="H11" i="6"/>
  <c r="D11" i="18" s="1"/>
  <c r="H15" i="6"/>
  <c r="D15" i="18" s="1"/>
  <c r="H19" i="6"/>
  <c r="D19" i="18" s="1"/>
  <c r="H20" i="6"/>
  <c r="D20" i="18" s="1"/>
  <c r="H21" i="6"/>
  <c r="D21" i="18" s="1"/>
  <c r="H22" i="6"/>
  <c r="D22" i="18" s="1"/>
  <c r="H23" i="6"/>
  <c r="D23" i="18" s="1"/>
  <c r="H24" i="6"/>
  <c r="D24" i="18" s="1"/>
  <c r="H25" i="6"/>
  <c r="D25" i="18" s="1"/>
  <c r="N18" i="18" l="1" a="1"/>
  <c r="N18" i="18" s="1"/>
  <c r="N14" i="18" a="1"/>
  <c r="N14" i="18" s="1"/>
  <c r="N6" i="18" a="1"/>
  <c r="N6" i="18" s="1"/>
  <c r="N23" i="18" a="1"/>
  <c r="N23" i="18" s="1"/>
  <c r="N26" i="18" a="1"/>
  <c r="N26" i="18" s="1"/>
  <c r="N3" i="18" a="1"/>
  <c r="N3" i="18" s="1"/>
  <c r="N5" i="18" a="1"/>
  <c r="N5" i="18" s="1"/>
  <c r="N10" i="18" a="1"/>
  <c r="N10" i="18" s="1"/>
  <c r="N29" i="18" a="1"/>
  <c r="N29" i="18" s="1"/>
  <c r="N19" i="18" a="1"/>
  <c r="N19" i="18" s="1"/>
  <c r="N16" i="18" a="1"/>
  <c r="N16" i="18" s="1"/>
  <c r="N31" i="18" a="1"/>
  <c r="N31" i="18" s="1"/>
  <c r="N30" i="18" a="1"/>
  <c r="N30" i="18" s="1"/>
  <c r="N17" i="18" a="1"/>
  <c r="N17" i="18" s="1"/>
  <c r="N4" i="18" a="1"/>
  <c r="N4" i="18" s="1"/>
  <c r="N22" i="18" a="1"/>
  <c r="N22" i="18" s="1"/>
  <c r="N15" i="18" a="1"/>
  <c r="N15" i="18" s="1"/>
  <c r="N9" i="18" a="1"/>
  <c r="N9" i="18" s="1"/>
  <c r="N12" i="18" a="1"/>
  <c r="N12" i="18" s="1"/>
  <c r="N13" i="18" a="1"/>
  <c r="N13" i="18" s="1"/>
  <c r="N25" i="18" a="1"/>
  <c r="N25" i="18" s="1"/>
  <c r="N20" i="18" a="1"/>
  <c r="N20" i="18" s="1"/>
  <c r="N11" i="18" a="1"/>
  <c r="N11" i="18" s="1"/>
  <c r="N8" i="18" a="1"/>
  <c r="N8" i="18" s="1"/>
  <c r="N21" i="18" a="1"/>
  <c r="N21" i="18" s="1"/>
  <c r="N24" i="18" a="1"/>
  <c r="N24" i="18" s="1"/>
  <c r="N7" i="18" a="1"/>
  <c r="N7" i="18" s="1"/>
  <c r="N27" i="18" a="1"/>
  <c r="N27" i="18" s="1"/>
  <c r="N28" i="18" a="1"/>
  <c r="N28" i="18" s="1"/>
  <c r="D2" i="18"/>
  <c r="C2" i="18"/>
  <c r="N2" i="18" l="1" a="1"/>
  <c r="N2" i="1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<sst xmlns="http://schemas.openxmlformats.org/spreadsheetml/2006/main" count="548" uniqueCount="54">
  <si>
    <t>ФИО</t>
  </si>
  <si>
    <t>Должность</t>
  </si>
  <si>
    <t>Оклад</t>
  </si>
  <si>
    <t>Премия</t>
  </si>
  <si>
    <t>Директор</t>
  </si>
  <si>
    <t>Бариста</t>
  </si>
  <si>
    <t>Уборщик</t>
  </si>
  <si>
    <t>Отклад</t>
  </si>
  <si>
    <t>Менджер</t>
  </si>
  <si>
    <t>Кассир</t>
  </si>
  <si>
    <t>Итоговая зарплата</t>
  </si>
  <si>
    <t>Егорова Анастасия Борисовna</t>
  </si>
  <si>
    <t>Волков Роман Геннадьевич</t>
  </si>
  <si>
    <t>Павлов Илья Анатольевич</t>
  </si>
  <si>
    <t>Козлова Виктория Валериевна</t>
  </si>
  <si>
    <t>Семёнов Денис Константинович</t>
  </si>
  <si>
    <t>Голубева Кристина Эдуардовна</t>
  </si>
  <si>
    <t>Виноградов Артем Кириллович</t>
  </si>
  <si>
    <t>Богданова Светлана Михайловна</t>
  </si>
  <si>
    <t>Воробьев Никита Станиславович</t>
  </si>
  <si>
    <t>Федорова Алина Руслановна</t>
  </si>
  <si>
    <t>Архипова Полина Георгиевна</t>
  </si>
  <si>
    <t>Макаров Вадим Леонидович</t>
  </si>
  <si>
    <t>Ильин Борис Тимофеевич</t>
  </si>
  <si>
    <t>Киселева Вероника Витальевна</t>
  </si>
  <si>
    <t>Захаров Даниил Артурович</t>
  </si>
  <si>
    <t>Новикова Дарья Филипповна</t>
  </si>
  <si>
    <t>Соловьев Евгений Романович</t>
  </si>
  <si>
    <t>Романова Маргарита Платоновна</t>
  </si>
  <si>
    <t>Смирнова Мария Дмитриевна</t>
  </si>
  <si>
    <t>Кузнецов Дмитрий Алексеевич</t>
  </si>
  <si>
    <t>Попова Екатерина Андреевна</t>
  </si>
  <si>
    <t>Васильев Павел Игоревич</t>
  </si>
  <si>
    <t>Петрова Анна Владимировна</t>
  </si>
  <si>
    <t>Соколов Максим Олегович</t>
  </si>
  <si>
    <t>Михайлова Елена Николаевна</t>
  </si>
  <si>
    <t>Новиков Андрей Викторович</t>
  </si>
  <si>
    <t>Федорова Ольга Павловна</t>
  </si>
  <si>
    <t>Морозов Сергей Юрьевич</t>
  </si>
  <si>
    <t>Лебедева Татьяна Юрьевна</t>
  </si>
  <si>
    <t>Иванов Иван Иванович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</si>
  <si>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</si>
  <si>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</si>
  <si>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</si>
  <si>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</si>
  <si>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</si>
  <si>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</si>
  <si>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</si>
  <si>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</si>
  <si>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</si>
  <si>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</si>
  <si>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</si>
  <si>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</si>
  <si>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ИТОГИ ЗА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</si>
</sst>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left" vertical="center" indent="1"/>
    </xf>
    <xf numFmtId="0" fontId="1" fillId="0" borderId="2" xfId="0" applyFont="1" applyFill="1" applyBorder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cap="all" baseline="0"/>
              <a:t>Заработок первых 5 сотрудников за сентябрь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'Итоги за год'!$A$2</c:f>
              <c:strCache>
                <c:ptCount val="1"/>
                <c:pt idx="0">
                  <c:v>Волков Роман Геннадьевич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'Итоги за год'!$B$2:$J$2</c:f>
              <c:numCache>
                <c:formatCode>General</c:formatCode>
                <c:ptCount val="9"/>
                <c:pt idx="0">
                  <c:v>12276</c:v>
                </c:pt>
                <c:pt idx="1">
                  <c:v>42668</c:v>
                </c:pt>
                <c:pt idx="2">
                  <c:v>25415</c:v>
                </c:pt>
                <c:pt idx="3">
                  <c:v>12227</c:v>
                </c:pt>
                <c:pt idx="4">
                  <c:v>14701</c:v>
                </c:pt>
                <c:pt idx="5">
                  <c:v>9314</c:v>
                </c:pt>
                <c:pt idx="6">
                  <c:v>10685</c:v>
                </c:pt>
                <c:pt idx="7">
                  <c:v>6990</c:v>
                </c:pt>
                <c:pt idx="8">
                  <c:v>16809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D-4622-9D63-F738377F80B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'Итоги за год'!$A$3</c15:sqref>
                        </c15:formulaRef>
                      </c:ext>
                    </c:extLst>
                    <c:strCache>
                      <c:ptCount val="1"/>
                      <c:pt idx="0">
                        <c:v>Егорова Анастасия Борисовna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'Итоги за год'!$B$3:$J$3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12986</c:v>
                      </c:pt>
                      <c:pt idx="1">
                        <c:v>37341</c:v>
                      </c:pt>
                      <c:pt idx="2">
                        <c:v>9090</c:v>
                      </c:pt>
                      <c:pt idx="3">
                        <c:v>12934</c:v>
                      </c:pt>
                      <c:pt idx="4">
                        <c:v>9724</c:v>
                      </c:pt>
                      <c:pt idx="5">
                        <c:v>9025</c:v>
                      </c:pt>
                      <c:pt idx="6">
                        <c:v>2849</c:v>
                      </c:pt>
                      <c:pt idx="7">
                        <c:v>18140</c:v>
                      </c:pt>
                      <c:pt idx="8">
                        <c:v>10848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31D-4622-9D63-F738377F80B8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'Итоги за год'!$A$4</c15:sqref>
                        </c15:formulaRef>
                      </c:ext>
                    </c:extLst>
                    <c:strCache>
                      <c:ptCount val="1"/>
                      <c:pt idx="0">
                        <c:v>Павлов Илья Анатольевич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'Итоги за год'!$B$4:$J$4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2444</c:v>
                      </c:pt>
                      <c:pt idx="1">
                        <c:v>23909</c:v>
                      </c:pt>
                      <c:pt idx="2">
                        <c:v>13373</c:v>
                      </c:pt>
                      <c:pt idx="3">
                        <c:v>11160</c:v>
                      </c:pt>
                      <c:pt idx="4">
                        <c:v>1762</c:v>
                      </c:pt>
                      <c:pt idx="5">
                        <c:v>1417</c:v>
                      </c:pt>
                      <c:pt idx="6">
                        <c:v>2995</c:v>
                      </c:pt>
                      <c:pt idx="7">
                        <c:v>9973</c:v>
                      </c:pt>
                      <c:pt idx="8">
                        <c:v>7623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31D-4622-9D63-F738377F80B8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'Итоги за год'!$A$5</c15:sqref>
                        </c15:formulaRef>
                      </c:ext>
                    </c:extLst>
                    <c:strCache>
                      <c:ptCount val="1"/>
                      <c:pt idx="0">
                        <c:v>Козлова Виктория Валериевна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'Итоги за год'!$B$5:$J$5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18627</c:v>
                      </c:pt>
                      <c:pt idx="1">
                        <c:v>45572</c:v>
                      </c:pt>
                      <c:pt idx="2">
                        <c:v>35456</c:v>
                      </c:pt>
                      <c:pt idx="3">
                        <c:v>19494</c:v>
                      </c:pt>
                      <c:pt idx="4">
                        <c:v>18311</c:v>
                      </c:pt>
                      <c:pt idx="5">
                        <c:v>15575</c:v>
                      </c:pt>
                      <c:pt idx="6">
                        <c:v>15499</c:v>
                      </c:pt>
                      <c:pt idx="7">
                        <c:v>17782</c:v>
                      </c:pt>
                      <c:pt idx="8">
                        <c:v>10117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31D-4622-9D63-F738377F80B8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'Итоги за год'!$A$6</c15:sqref>
                        </c15:formulaRef>
                      </c:ext>
                    </c:extLst>
                    <c:strCache>
                      <c:ptCount val="1"/>
                      <c:pt idx="0">
                        <c:v>Семёнов Денис Константинович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'Итоги за год'!$B$6:$J$6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7815</c:v>
                      </c:pt>
                      <c:pt idx="1">
                        <c:v>40544</c:v>
                      </c:pt>
                      <c:pt idx="2">
                        <c:v>16619</c:v>
                      </c:pt>
                      <c:pt idx="3">
                        <c:v>9804</c:v>
                      </c:pt>
                      <c:pt idx="4">
                        <c:v>9104</c:v>
                      </c:pt>
                      <c:pt idx="5">
                        <c:v>9304</c:v>
                      </c:pt>
                      <c:pt idx="6">
                        <c:v>18020</c:v>
                      </c:pt>
                      <c:pt idx="7">
                        <c:v>23027</c:v>
                      </c:pt>
                      <c:pt idx="8">
                        <c:v>10157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231D-4622-9D63-F738377F80B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('Итоги за год'!$A$6,'Итоги за год'!$A$11,'Итоги за год'!$A$16,'Итоги за год'!$A$21,'Итоги за год'!$A$26,'Итоги за год'!$A$31)</c:f>
              <c:strCache>
                <c:ptCount val="6"/>
                <c:pt idx="0">
                  <c:v>Семёнов Денис Константинович</c:v>
                </c:pt>
                <c:pt idx="1">
                  <c:v>Федорова Алина Руслановна</c:v>
                </c:pt>
                <c:pt idx="2">
                  <c:v>Захаров Даниил Артурович</c:v>
                </c:pt>
                <c:pt idx="3">
                  <c:v>Кузнецов Дмитрий Алексеевич</c:v>
                </c:pt>
                <c:pt idx="4">
                  <c:v>Михайлова Елена Николаевна</c:v>
                </c:pt>
                <c:pt idx="5">
                  <c:v>Иванов Иван Иванович</c:v>
                </c:pt>
              </c:strCache>
            </c:strRef>
          </c:cat>
          <c:val>
            <c:numRef>
              <c:f>('Итоги за год'!$N$6,'Итоги за год'!$N$11,'Итоги за год'!$N$16,'Итоги за год'!$N$21,'Итоги за год'!$N$26,'Итоги за год'!$N$31)</c:f>
              <c:numCache>
                <c:formatCode>General</c:formatCode>
                <c:ptCount val="6"/>
                <c:pt idx="0">
                  <c:v>7815</c:v>
                </c:pt>
                <c:pt idx="1">
                  <c:v>51256</c:v>
                </c:pt>
                <c:pt idx="2">
                  <c:v>53549</c:v>
                </c:pt>
                <c:pt idx="3">
                  <c:v>49934</c:v>
                </c:pt>
                <c:pt idx="4">
                  <c:v>34751</c:v>
                </c:pt>
                <c:pt idx="5">
                  <c:v>59971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2-49D1-A501-D9421DC63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802200"/>
        <c:axId val="671806464"/>
      </c:barChart>
      <c:catAx>
        <c:axId val="671802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1806464"/>
        <c:crosses val="autoZero"/>
        <c:auto val="1"/>
        <c:lblAlgn val="ctr"/>
        <c:lblOffset val="100"/>
        <c:noMultiLvlLbl val="0"/>
      </c:catAx>
      <c:valAx>
        <c:axId val="67180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1802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204787</xdr:colOff>
      <xdr:row>0</xdr:row>
      <xdr:rowOff>190500</xdr:rowOff>
    </xdr:from>
    <xdr:to>
      <xdr:col>31</xdr:col>
      <xdr:colOff>661987</xdr:colOff>
      <xdr:row>14</xdr:row>
      <xdr:rowOff>133350</xdr:rowOff>
    </xdr:to>
    <xdr:graphicFrame macro="">
      <xdr:nvGraphicFramePr>
        <xdr:cNvPr id="2" name="Диаграмма 1" descr="Заработок первых 5 сотрудников за сентябрь">
          <a:extLst>
            <a:ext uri="{FF2B5EF4-FFF2-40B4-BE49-F238E27FC236}">
              <a16:creationId xmlns:a16="http://schemas.microsoft.com/office/drawing/2014/main" id="{D07A6B0E-B226-46EC-8129-C47F100DF9AC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183695</xdr:colOff>
      <xdr:row>15</xdr:row>
      <xdr:rowOff>118381</xdr:rowOff>
    </xdr:from>
    <xdr:to>
      <xdr:col>31</xdr:col>
      <xdr:colOff>673552</xdr:colOff>
      <xdr:row>29</xdr:row>
      <xdr:rowOff>4081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53941B2-384B-44CC-9E02-A27763A64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71;&#1085;&#1074;&#1072;&#1088;&#110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Январь1"/>
      <sheetName val="Февраль"/>
      <sheetName val="Март"/>
      <sheetName val="Апрель"/>
      <sheetName val="Май"/>
      <sheetName val="Июнь"/>
      <sheetName val="Июль"/>
      <sheetName val="Август"/>
      <sheetName val="Сентябрь"/>
      <sheetName val="Октябрь"/>
      <sheetName val="Ноябрь"/>
      <sheetName val="Декабрь"/>
      <sheetName val="Лист13"/>
      <sheetName val="Лист3"/>
      <sheetName val="Январь"/>
    </sheetNames>
    <sheetDataSet>
      <sheetData sheetId="0">
        <row r="2">
          <cell r="A2" t="str">
            <v>Директор</v>
          </cell>
          <cell r="F2">
            <v>4547</v>
          </cell>
          <cell r="H2">
            <v>12276</v>
          </cell>
        </row>
        <row r="3">
          <cell r="F3">
            <v>-861</v>
          </cell>
          <cell r="H3">
            <v>12986</v>
          </cell>
        </row>
        <row r="4">
          <cell r="F4">
            <v>-4185</v>
          </cell>
          <cell r="H4">
            <v>2444</v>
          </cell>
        </row>
        <row r="5">
          <cell r="F5">
            <v>7656</v>
          </cell>
          <cell r="H5">
            <v>18627</v>
          </cell>
        </row>
        <row r="6">
          <cell r="F6"/>
          <cell r="H6">
            <v>7815</v>
          </cell>
        </row>
        <row r="7">
          <cell r="F7">
            <v>59474</v>
          </cell>
          <cell r="H7">
            <v>65704</v>
          </cell>
        </row>
        <row r="8">
          <cell r="F8">
            <v>46391</v>
          </cell>
          <cell r="H8">
            <v>68316</v>
          </cell>
        </row>
        <row r="9">
          <cell r="F9">
            <v>50159</v>
          </cell>
          <cell r="H9">
            <v>57959</v>
          </cell>
        </row>
        <row r="10">
          <cell r="F10">
            <v>43045</v>
          </cell>
          <cell r="H10">
            <v>54799</v>
          </cell>
        </row>
        <row r="11">
          <cell r="F11">
            <v>46548</v>
          </cell>
          <cell r="H11">
            <v>51256</v>
          </cell>
        </row>
        <row r="12">
          <cell r="F12">
            <v>29861</v>
          </cell>
          <cell r="H12">
            <v>42685</v>
          </cell>
        </row>
        <row r="13">
          <cell r="F13">
            <v>30054</v>
          </cell>
          <cell r="H13">
            <v>37946</v>
          </cell>
        </row>
        <row r="14">
          <cell r="F14">
            <v>98578</v>
          </cell>
          <cell r="H14">
            <v>107489</v>
          </cell>
        </row>
        <row r="15">
          <cell r="F15">
            <v>41188</v>
          </cell>
          <cell r="H15">
            <v>58907</v>
          </cell>
        </row>
        <row r="16">
          <cell r="F16">
            <v>45837</v>
          </cell>
          <cell r="H16">
            <v>53549</v>
          </cell>
        </row>
        <row r="17">
          <cell r="F17">
            <v>57033</v>
          </cell>
          <cell r="H17">
            <v>70221</v>
          </cell>
        </row>
        <row r="18">
          <cell r="F18">
            <v>95893</v>
          </cell>
          <cell r="H18">
            <v>104106</v>
          </cell>
        </row>
        <row r="19">
          <cell r="F19">
            <v>91848</v>
          </cell>
          <cell r="H19">
            <v>97332</v>
          </cell>
        </row>
        <row r="20">
          <cell r="F20">
            <v>32926</v>
          </cell>
          <cell r="H20">
            <v>41843</v>
          </cell>
        </row>
        <row r="21">
          <cell r="F21">
            <v>39834</v>
          </cell>
          <cell r="H21">
            <v>49934</v>
          </cell>
        </row>
        <row r="22">
          <cell r="F22">
            <v>40691</v>
          </cell>
          <cell r="H22">
            <v>41552</v>
          </cell>
        </row>
        <row r="23">
          <cell r="F23">
            <v>52094</v>
          </cell>
          <cell r="H23">
            <v>66223</v>
          </cell>
        </row>
        <row r="24">
          <cell r="F24">
            <v>47078</v>
          </cell>
          <cell r="H24">
            <v>67265</v>
          </cell>
        </row>
        <row r="25">
          <cell r="F25">
            <v>64967</v>
          </cell>
          <cell r="H25">
            <v>81660</v>
          </cell>
        </row>
        <row r="26">
          <cell r="F26">
            <v>32027</v>
          </cell>
          <cell r="H26">
            <v>34751</v>
          </cell>
        </row>
        <row r="27">
          <cell r="F27">
            <v>57331</v>
          </cell>
          <cell r="H27">
            <v>69682</v>
          </cell>
        </row>
        <row r="28">
          <cell r="F28">
            <v>40672</v>
          </cell>
          <cell r="H28">
            <v>54958</v>
          </cell>
        </row>
        <row r="29">
          <cell r="F29">
            <v>27432</v>
          </cell>
          <cell r="H29">
            <v>32315</v>
          </cell>
        </row>
        <row r="30">
          <cell r="F30">
            <v>58725</v>
          </cell>
          <cell r="H30">
            <v>74776</v>
          </cell>
        </row>
        <row r="31">
          <cell r="F31">
            <v>53063</v>
          </cell>
          <cell r="H31">
            <v>59971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ABF1-729F-4F1D-995F-8ABD3F5D3502}">
  <dimension ref="A1:H32"/>
  <sheetViews>
    <sheetView topLeftCell="A12" workbookViewId="0">
      <selection activeCell="D2" sqref="D2:D31"/>
    </sheetView>
  </sheetViews>
  <sheetFormatPr defaultRowHeight="14.25"/>
  <cols>
    <col min="1" max="1" width="10.125" customWidth="1"/>
    <col min="3" max="3" width="9" hidden="1" customWidth="1"/>
    <col min="4" max="4" width="37" customWidth="1"/>
    <col min="5" max="5" width="9.75" customWidth="1"/>
    <col min="6" max="6" width="10.375" bestFit="1" customWidth="1"/>
    <col min="8" max="8" width="18.125" customWidth="1"/>
  </cols>
  <sheetData>
    <row r="1" spans="1:8" ht="15">
      <c r="A1" s="3" t="s">
        <v>1</v>
      </c>
      <c r="B1" s="3" t="s">
        <v>7</v>
      </c>
      <c r="C1" s="1"/>
      <c r="D1" s="3" t="s">
        <v>0</v>
      </c>
      <c r="E1" s="3" t="s">
        <v>1</v>
      </c>
      <c r="F1" s="3" t="s">
        <v>2</v>
      </c>
      <c r="G1" s="3" t="s">
        <v>3</v>
      </c>
      <c r="H1" s="3" t="s">
        <v>10</v>
      </c>
    </row>
    <row r="2" spans="1:8" ht="15.75">
      <c r="A2" s="3" t="s">
        <v>4</v>
      </c>
      <c r="B2" s="3">
        <v>100000</v>
      </c>
      <c r="C2" s="1"/>
      <c r="D2" s="4" t="s">
        <v>12</v>
      </c>
      <c r="E2" s="3" t="str" cm="1">
        <f t="array" aca="1" ref="E2" ca="1">INDEX($A$2:$A$6, RANDBETWEEN(1, 5))</f>
        <v>Уборщик</v>
      </c>
      <c r="F2" s="1">
        <f ca="1">[1]Январь1!F2 + RANDBETWEEN(-5000, 5000)</f>
        <v>6302</v>
      </c>
      <c r="G2" s="1">
        <f ca="1">RANDBETWEEN(5000, 20000)</f>
        <v>9477</v>
      </c>
      <c r="H2" s="1">
        <f ca="1">F2+G2</f>
        <v>15779</v>
      </c>
    </row>
    <row r="3" spans="1:8" ht="15.75">
      <c r="A3" s="3" t="s">
        <v>8</v>
      </c>
      <c r="B3" s="3">
        <v>60000</v>
      </c>
      <c r="C3" s="1"/>
      <c r="D3" s="4" t="s">
        <v>11</v>
      </c>
      <c r="E3" s="3" t="str" cm="1">
        <f t="array" aca="1" ref="E3" ca="1">INDEX($A$2:$A$6, RANDBETWEEN(1, 5))</f>
        <v>Директор</v>
      </c>
      <c r="F3" s="1">
        <f ca="1">[1]Январь1!F3 + RANDBETWEEN(-5000, 5000)</f>
        <v>2527</v>
      </c>
      <c r="G3" s="1">
        <f t="shared" ref="G3:G31" ca="1" si="0">RANDBETWEEN(5000, 20000)</f>
        <v>19498</v>
      </c>
      <c r="H3" s="1">
        <f t="shared" ref="H3:H31" ca="1" si="1">F3+G3</f>
        <v>22025</v>
      </c>
    </row>
    <row r="4" spans="1:8" ht="15.75">
      <c r="A4" s="3" t="s">
        <v>5</v>
      </c>
      <c r="B4" s="3">
        <v>45000</v>
      </c>
      <c r="C4" s="1"/>
      <c r="D4" s="4" t="s">
        <v>13</v>
      </c>
      <c r="E4" s="3" t="str" cm="1">
        <f t="array" aca="1" ref="E4" ca="1">INDEX($A$2:$A$6, RANDBETWEEN(1, 5))</f>
        <v>Уборщик</v>
      </c>
      <c r="F4" s="1">
        <f ca="1">[1]Январь1!F4 + RANDBETWEEN(-5000, 5000)</f>
        <v>-59</v>
      </c>
      <c r="G4" s="1">
        <f t="shared" ca="1" si="0"/>
        <v>10411</v>
      </c>
      <c r="H4" s="1">
        <f t="shared" ca="1" si="1"/>
        <v>10352</v>
      </c>
    </row>
    <row r="5" spans="1:8" ht="15.75">
      <c r="A5" s="3" t="s">
        <v>9</v>
      </c>
      <c r="B5" s="3">
        <v>40000</v>
      </c>
      <c r="C5" s="1"/>
      <c r="D5" s="4" t="s">
        <v>14</v>
      </c>
      <c r="E5" s="3" t="str" cm="1">
        <f t="array" aca="1" ref="E5" ca="1">INDEX($A$2:$A$6, RANDBETWEEN(1, 5))</f>
        <v>Кассир</v>
      </c>
      <c r="F5" s="1">
        <f ca="1">[1]Январь1!F2 + RANDBETWEEN(-5000, 5000)</f>
        <v>750</v>
      </c>
      <c r="G5" s="1">
        <f t="shared" ca="1" si="0"/>
        <v>17862</v>
      </c>
      <c r="H5" s="1">
        <f t="shared" ca="1" si="1"/>
        <v>18612</v>
      </c>
    </row>
    <row r="6" spans="1:8" ht="15.75">
      <c r="A6" s="3" t="s">
        <v>6</v>
      </c>
      <c r="B6" s="3">
        <v>30000</v>
      </c>
      <c r="C6" s="1"/>
      <c r="D6" s="4" t="s">
        <v>15</v>
      </c>
      <c r="E6" s="3" t="str" cm="1">
        <f t="array" aca="1" ref="E6" ca="1">INDEX($A$2:$A$6, RANDBETWEEN(1, 5))</f>
        <v>Кассир</v>
      </c>
      <c r="F6" s="1">
        <f ca="1">[1]Январь1!F6 + RANDBETWEEN(-5000, 5000)</f>
        <v>4864</v>
      </c>
      <c r="G6" s="1">
        <f t="shared" ca="1" si="0"/>
        <v>15026</v>
      </c>
      <c r="H6" s="1">
        <f t="shared" ca="1" si="1"/>
        <v>19890</v>
      </c>
    </row>
    <row r="7" spans="1:8" ht="15.75">
      <c r="A7" s="1"/>
      <c r="B7" s="1"/>
      <c r="C7" s="1"/>
      <c r="D7" s="4" t="s">
        <v>16</v>
      </c>
      <c r="E7" s="3" t="str" cm="1">
        <f t="array" aca="1" ref="E7" ca="1">INDEX($A$2:$A$6, RANDBETWEEN(1, 5))</f>
        <v>Менджер</v>
      </c>
      <c r="F7" s="1">
        <f ca="1">[1]Январь1!F7 + RANDBETWEEN(-5000, 5000)</f>
        <v>60827</v>
      </c>
      <c r="G7" s="1">
        <f t="shared" ca="1" si="0"/>
        <v>15594</v>
      </c>
      <c r="H7" s="1">
        <f t="shared" ca="1" si="1"/>
        <v>76421</v>
      </c>
    </row>
    <row r="8" spans="1:8" ht="15.75">
      <c r="A8" s="1"/>
      <c r="B8" s="1"/>
      <c r="C8" s="1"/>
      <c r="D8" s="4" t="s">
        <v>17</v>
      </c>
      <c r="E8" s="3" t="str" cm="1">
        <f t="array" aca="1" ref="E8" ca="1">INDEX($A$2:$A$6, RANDBETWEEN(1, 5))</f>
        <v>Бариста</v>
      </c>
      <c r="F8" s="1">
        <f ca="1">[1]Январь1!F8 + RANDBETWEEN(-5000, 5000)</f>
        <v>43498</v>
      </c>
      <c r="G8" s="1">
        <f t="shared" ca="1" si="0"/>
        <v>13652</v>
      </c>
      <c r="H8" s="1">
        <f t="shared" ca="1" si="1"/>
        <v>57150</v>
      </c>
    </row>
    <row r="9" spans="1:8" ht="15.75">
      <c r="A9" s="1"/>
      <c r="B9" s="1"/>
      <c r="C9" s="1"/>
      <c r="D9" s="4" t="s">
        <v>18</v>
      </c>
      <c r="E9" s="3" t="str" cm="1">
        <f t="array" aca="1" ref="E9" ca="1">INDEX($A$2:$A$6, RANDBETWEEN(1, 5))</f>
        <v>Уборщик</v>
      </c>
      <c r="F9" s="1">
        <f ca="1">[1]Январь1!F9 + RANDBETWEEN(-5000, 5000)</f>
        <v>51697</v>
      </c>
      <c r="G9" s="1">
        <f t="shared" ca="1" si="0"/>
        <v>16128</v>
      </c>
      <c r="H9" s="1">
        <f t="shared" ca="1" si="1"/>
        <v>67825</v>
      </c>
    </row>
    <row r="10" spans="1:8" ht="15.75">
      <c r="A10" s="1"/>
      <c r="B10" s="1"/>
      <c r="C10" s="1"/>
      <c r="D10" s="4" t="s">
        <v>19</v>
      </c>
      <c r="E10" s="3" t="str" cm="1">
        <f t="array" aca="1" ref="E10" ca="1">INDEX($A$2:$A$6, RANDBETWEEN(1, 5))</f>
        <v>Кассир</v>
      </c>
      <c r="F10" s="1">
        <f ca="1">[1]Январь1!F10 + RANDBETWEEN(-5000, 5000)</f>
        <v>40197</v>
      </c>
      <c r="G10" s="1">
        <f t="shared" ca="1" si="0"/>
        <v>17748</v>
      </c>
      <c r="H10" s="1">
        <f t="shared" ca="1" si="1"/>
        <v>57945</v>
      </c>
    </row>
    <row r="11" spans="1:8" ht="15.75">
      <c r="A11" s="1"/>
      <c r="B11" s="1"/>
      <c r="C11" s="1"/>
      <c r="D11" s="4" t="s">
        <v>20</v>
      </c>
      <c r="E11" s="3" t="str" cm="1">
        <f t="array" aca="1" ref="E11" ca="1">INDEX($A$2:$A$6, RANDBETWEEN(1, 5))</f>
        <v>Бариста</v>
      </c>
      <c r="F11" s="1">
        <f ca="1">[1]Январь1!F11 + RANDBETWEEN(-5000, 5000)</f>
        <v>43384</v>
      </c>
      <c r="G11" s="1">
        <f t="shared" ca="1" si="0"/>
        <v>16820</v>
      </c>
      <c r="H11" s="1">
        <f t="shared" ca="1" si="1"/>
        <v>60204</v>
      </c>
    </row>
    <row r="12" spans="1:8" ht="15.75">
      <c r="A12" s="1"/>
      <c r="B12" s="1"/>
      <c r="C12" s="1"/>
      <c r="D12" s="4" t="s">
        <v>22</v>
      </c>
      <c r="E12" s="3" t="str" cm="1">
        <f t="array" aca="1" ref="E12" ca="1">INDEX($A$2:$A$6, RANDBETWEEN(1, 5))</f>
        <v>Менджер</v>
      </c>
      <c r="F12" s="1">
        <f ca="1">[1]Январь1!F12 + RANDBETWEEN(-5000, 5000)</f>
        <v>32215</v>
      </c>
      <c r="G12" s="1">
        <f t="shared" ca="1" si="0"/>
        <v>13823</v>
      </c>
      <c r="H12" s="1">
        <f t="shared" ca="1" si="1"/>
        <v>46038</v>
      </c>
    </row>
    <row r="13" spans="1:8" ht="15.75">
      <c r="A13" s="1"/>
      <c r="B13" s="1"/>
      <c r="C13" s="1"/>
      <c r="D13" s="4" t="s">
        <v>21</v>
      </c>
      <c r="E13" s="3" t="str" cm="1">
        <f t="array" aca="1" ref="E13" ca="1">INDEX($A$2:$A$6, RANDBETWEEN(1, 5))</f>
        <v>Бариста</v>
      </c>
      <c r="F13" s="1">
        <f ca="1">[1]Январь1!F13 + RANDBETWEEN(-5000, 5000)</f>
        <v>30193</v>
      </c>
      <c r="G13" s="1">
        <f t="shared" ca="1" si="0"/>
        <v>7695</v>
      </c>
      <c r="H13" s="1">
        <f t="shared" ca="1" si="1"/>
        <v>37888</v>
      </c>
    </row>
    <row r="14" spans="1:8" ht="15.75">
      <c r="A14" s="1"/>
      <c r="B14" s="1"/>
      <c r="C14" s="1"/>
      <c r="D14" s="4" t="s">
        <v>23</v>
      </c>
      <c r="E14" s="3" t="str" cm="1">
        <f t="array" aca="1" ref="E14" ca="1">INDEX($A$2:$A$6, RANDBETWEEN(1, 5))</f>
        <v>Уборщик</v>
      </c>
      <c r="F14" s="1">
        <f ca="1">[1]Январь1!F14 + RANDBETWEEN(-5000, 5000)</f>
        <v>96344</v>
      </c>
      <c r="G14" s="1">
        <f t="shared" ca="1" si="0"/>
        <v>8668</v>
      </c>
      <c r="H14" s="1">
        <f t="shared" ca="1" si="1"/>
        <v>105012</v>
      </c>
    </row>
    <row r="15" spans="1:8" ht="15.75">
      <c r="A15" s="1"/>
      <c r="B15" s="1"/>
      <c r="C15" s="1"/>
      <c r="D15" s="4" t="s">
        <v>24</v>
      </c>
      <c r="E15" s="3" t="str" cm="1">
        <f t="array" aca="1" ref="E15" ca="1">INDEX($A$2:$A$6, RANDBETWEEN(1, 5))</f>
        <v>Кассир</v>
      </c>
      <c r="F15" s="1">
        <f ca="1">[1]Январь1!F15 + RANDBETWEEN(-5000, 5000)</f>
        <v>36519</v>
      </c>
      <c r="G15" s="1">
        <f t="shared" ca="1" si="0"/>
        <v>19690</v>
      </c>
      <c r="H15" s="1">
        <f t="shared" ca="1" si="1"/>
        <v>56209</v>
      </c>
    </row>
    <row r="16" spans="1:8" ht="15.75">
      <c r="A16" s="1"/>
      <c r="B16" s="1"/>
      <c r="C16" s="1"/>
      <c r="D16" s="4" t="s">
        <v>25</v>
      </c>
      <c r="E16" s="3" t="str" cm="1">
        <f t="array" aca="1" ref="E16" ca="1">INDEX($A$2:$A$6, RANDBETWEEN(1, 5))</f>
        <v>Уборщик</v>
      </c>
      <c r="F16" s="1">
        <f ca="1">[1]Январь1!F16 + RANDBETWEEN(-5000, 5000)</f>
        <v>46050</v>
      </c>
      <c r="G16" s="1">
        <f t="shared" ca="1" si="0"/>
        <v>7620</v>
      </c>
      <c r="H16" s="1">
        <f t="shared" ca="1" si="1"/>
        <v>53670</v>
      </c>
    </row>
    <row r="17" spans="1:8" ht="15.75">
      <c r="A17" s="1"/>
      <c r="B17" s="1"/>
      <c r="C17" s="1"/>
      <c r="D17" s="4" t="s">
        <v>26</v>
      </c>
      <c r="E17" s="3" t="str" cm="1">
        <f t="array" aca="1" ref="E17" ca="1">INDEX($A$2:$A$6, RANDBETWEEN(1, 5))</f>
        <v>Менджер</v>
      </c>
      <c r="F17" s="1">
        <f ca="1">[1]Январь1!F17 + RANDBETWEEN(-5000, 5000)</f>
        <v>60236</v>
      </c>
      <c r="G17" s="1">
        <f t="shared" ca="1" si="0"/>
        <v>16824</v>
      </c>
      <c r="H17" s="1">
        <f t="shared" ca="1" si="1"/>
        <v>77060</v>
      </c>
    </row>
    <row r="18" spans="1:8" ht="15.75">
      <c r="A18" s="1"/>
      <c r="B18" s="1"/>
      <c r="C18" s="1"/>
      <c r="D18" s="4" t="s">
        <v>27</v>
      </c>
      <c r="E18" s="3" t="str" cm="1">
        <f t="array" aca="1" ref="E18" ca="1">INDEX($A$2:$A$6, RANDBETWEEN(1, 5))</f>
        <v>Директор</v>
      </c>
      <c r="F18" s="1">
        <f ca="1">[1]Январь1!F18 + RANDBETWEEN(-5000, 5000)</f>
        <v>97424</v>
      </c>
      <c r="G18" s="1">
        <f t="shared" ca="1" si="0"/>
        <v>18988</v>
      </c>
      <c r="H18" s="1">
        <f t="shared" ca="1" si="1"/>
        <v>116412</v>
      </c>
    </row>
    <row r="19" spans="1:8" ht="15.75">
      <c r="A19" s="1"/>
      <c r="B19" s="1"/>
      <c r="C19" s="1"/>
      <c r="D19" s="4" t="s">
        <v>28</v>
      </c>
      <c r="E19" s="3" t="str" cm="1">
        <f t="array" aca="1" ref="E19" ca="1">INDEX($A$2:$A$6, RANDBETWEEN(1, 5))</f>
        <v>Кассир</v>
      </c>
      <c r="F19" s="1">
        <f ca="1">[1]Январь1!F19 + RANDBETWEEN(-5000, 5000)</f>
        <v>96175</v>
      </c>
      <c r="G19" s="1">
        <f t="shared" ca="1" si="0"/>
        <v>5798</v>
      </c>
      <c r="H19" s="1">
        <f t="shared" ca="1" si="1"/>
        <v>101973</v>
      </c>
    </row>
    <row r="20" spans="1:8" ht="15.75">
      <c r="A20" s="1"/>
      <c r="B20" s="1"/>
      <c r="C20" s="1"/>
      <c r="D20" s="4" t="s">
        <v>29</v>
      </c>
      <c r="E20" s="3" t="str" cm="1">
        <f t="array" aca="1" ref="E20" ca="1">INDEX($A$2:$A$6, RANDBETWEEN(1, 5))</f>
        <v>Директор</v>
      </c>
      <c r="F20" s="1">
        <f ca="1">[1]Январь1!F20 + RANDBETWEEN(-5000, 5000)</f>
        <v>34646</v>
      </c>
      <c r="G20" s="1">
        <f t="shared" ca="1" si="0"/>
        <v>7041</v>
      </c>
      <c r="H20" s="1">
        <f t="shared" ca="1" si="1"/>
        <v>41687</v>
      </c>
    </row>
    <row r="21" spans="1:8" ht="15.75">
      <c r="A21" s="1"/>
      <c r="B21" s="1"/>
      <c r="C21" s="1"/>
      <c r="D21" s="4" t="s">
        <v>30</v>
      </c>
      <c r="E21" s="3" t="str" cm="1">
        <f t="array" aca="1" ref="E21" ca="1">INDEX($A$2:$A$6, RANDBETWEEN(1, 5))</f>
        <v>Кассир</v>
      </c>
      <c r="F21" s="1">
        <f ca="1">[1]Январь1!F21 + RANDBETWEEN(-5000, 5000)</f>
        <v>35941</v>
      </c>
      <c r="G21" s="1">
        <f t="shared" ca="1" si="0"/>
        <v>6691</v>
      </c>
      <c r="H21" s="1">
        <f t="shared" ca="1" si="1"/>
        <v>42632</v>
      </c>
    </row>
    <row r="22" spans="1:8" ht="15.75">
      <c r="A22" s="1"/>
      <c r="B22" s="1"/>
      <c r="C22" s="1"/>
      <c r="D22" s="4" t="s">
        <v>31</v>
      </c>
      <c r="E22" s="3" t="str" cm="1">
        <f t="array" aca="1" ref="E22" ca="1">INDEX($A$2:$A$6, RANDBETWEEN(1, 5))</f>
        <v>Уборщик</v>
      </c>
      <c r="F22" s="1">
        <f ca="1">[1]Январь1!F22 + RANDBETWEEN(-5000, 5000)</f>
        <v>35734</v>
      </c>
      <c r="G22" s="1">
        <f t="shared" ca="1" si="0"/>
        <v>9100</v>
      </c>
      <c r="H22" s="1">
        <f t="shared" ca="1" si="1"/>
        <v>44834</v>
      </c>
    </row>
    <row r="23" spans="1:8" ht="15.75">
      <c r="A23" s="1"/>
      <c r="B23" s="1"/>
      <c r="C23" s="1"/>
      <c r="D23" s="4" t="s">
        <v>32</v>
      </c>
      <c r="E23" s="3" t="str" cm="1">
        <f t="array" aca="1" ref="E23" ca="1">INDEX($A$2:$A$6, RANDBETWEEN(1, 5))</f>
        <v>Бариста</v>
      </c>
      <c r="F23" s="1">
        <f ca="1">[1]Январь1!F23 + RANDBETWEEN(-5000, 5000)</f>
        <v>53683</v>
      </c>
      <c r="G23" s="1">
        <f t="shared" ca="1" si="0"/>
        <v>6636</v>
      </c>
      <c r="H23" s="1">
        <f t="shared" ca="1" si="1"/>
        <v>60319</v>
      </c>
    </row>
    <row r="24" spans="1:8" ht="15.75">
      <c r="A24" s="1"/>
      <c r="B24" s="1"/>
      <c r="C24" s="1"/>
      <c r="D24" s="4" t="s">
        <v>33</v>
      </c>
      <c r="E24" s="3" t="str" cm="1">
        <f t="array" aca="1" ref="E24" ca="1">INDEX($A$2:$A$6, RANDBETWEEN(1, 5))</f>
        <v>Директор</v>
      </c>
      <c r="F24" s="1">
        <f ca="1">[1]Январь1!F24 + RANDBETWEEN(-5000, 5000)</f>
        <v>48739</v>
      </c>
      <c r="G24" s="1">
        <f t="shared" ca="1" si="0"/>
        <v>16837</v>
      </c>
      <c r="H24" s="1">
        <f t="shared" ca="1" si="1"/>
        <v>65576</v>
      </c>
    </row>
    <row r="25" spans="1:8" ht="15.75">
      <c r="A25" s="1"/>
      <c r="B25" s="1"/>
      <c r="C25" s="1"/>
      <c r="D25" s="4" t="s">
        <v>34</v>
      </c>
      <c r="E25" s="3" t="str" cm="1">
        <f t="array" aca="1" ref="E25" ca="1">INDEX($A$2:$A$6, RANDBETWEEN(1, 5))</f>
        <v>Директор</v>
      </c>
      <c r="F25" s="1">
        <f ca="1">[1]Январь1!F25 + RANDBETWEEN(-5000, 5000)</f>
        <v>60342</v>
      </c>
      <c r="G25" s="1">
        <f t="shared" ca="1" si="0"/>
        <v>8187</v>
      </c>
      <c r="H25" s="1">
        <f t="shared" ca="1" si="1"/>
        <v>68529</v>
      </c>
    </row>
    <row r="26" spans="1:8" ht="15.75">
      <c r="A26" s="1"/>
      <c r="B26" s="1"/>
      <c r="C26" s="1"/>
      <c r="D26" s="4" t="s">
        <v>35</v>
      </c>
      <c r="E26" s="3" t="str" cm="1">
        <f t="array" aca="1" ref="E26" ca="1">INDEX($A$2:$A$6, RANDBETWEEN(1, 5))</f>
        <v>Директор</v>
      </c>
      <c r="F26" s="1">
        <f ca="1">[1]Январь1!F26 + RANDBETWEEN(-5000, 5000)</f>
        <v>28111</v>
      </c>
      <c r="G26" s="1">
        <f t="shared" ca="1" si="0"/>
        <v>5924</v>
      </c>
      <c r="H26" s="1">
        <f t="shared" ca="1" si="1"/>
        <v>34035</v>
      </c>
    </row>
    <row r="27" spans="1:8" ht="15.75">
      <c r="A27" s="1"/>
      <c r="B27" s="1"/>
      <c r="C27" s="1"/>
      <c r="D27" s="4" t="s">
        <v>36</v>
      </c>
      <c r="E27" s="3" t="str" cm="1">
        <f t="array" aca="1" ref="E27" ca="1">INDEX($A$2:$A$6, RANDBETWEEN(1, 5))</f>
        <v>Кассир</v>
      </c>
      <c r="F27" s="1">
        <f ca="1">[1]Январь1!F27 + RANDBETWEEN(-5000, 5000)</f>
        <v>61330</v>
      </c>
      <c r="G27" s="1">
        <f t="shared" ca="1" si="0"/>
        <v>10260</v>
      </c>
      <c r="H27" s="1">
        <f t="shared" ca="1" si="1"/>
        <v>71590</v>
      </c>
    </row>
    <row r="28" spans="1:8" ht="15.75">
      <c r="A28" s="1"/>
      <c r="B28" s="1"/>
      <c r="C28" s="1"/>
      <c r="D28" s="4" t="s">
        <v>37</v>
      </c>
      <c r="E28" s="3" t="str" cm="1">
        <f t="array" aca="1" ref="E28" ca="1">INDEX($A$2:$A$6, RANDBETWEEN(1, 5))</f>
        <v>Бариста</v>
      </c>
      <c r="F28" s="1">
        <f ca="1">[1]Январь1!F28 + RANDBETWEEN(-5000, 5000)</f>
        <v>37196</v>
      </c>
      <c r="G28" s="1">
        <f t="shared" ca="1" si="0"/>
        <v>13597</v>
      </c>
      <c r="H28" s="1">
        <f t="shared" ca="1" si="1"/>
        <v>50793</v>
      </c>
    </row>
    <row r="29" spans="1:8" ht="15.75">
      <c r="A29" s="1"/>
      <c r="B29" s="1"/>
      <c r="C29" s="1"/>
      <c r="D29" s="4" t="s">
        <v>38</v>
      </c>
      <c r="E29" s="3" t="str" cm="1">
        <f t="array" aca="1" ref="E29" ca="1">INDEX($A$2:$A$6, RANDBETWEEN(1, 5))</f>
        <v>Уборщик</v>
      </c>
      <c r="F29" s="1">
        <f ca="1">[1]Январь1!F29 + RANDBETWEEN(-5000, 5000)</f>
        <v>23652</v>
      </c>
      <c r="G29" s="1">
        <f t="shared" ca="1" si="0"/>
        <v>7723</v>
      </c>
      <c r="H29" s="1">
        <f t="shared" ca="1" si="1"/>
        <v>31375</v>
      </c>
    </row>
    <row r="30" spans="1:8" ht="15.75">
      <c r="A30" s="1"/>
      <c r="B30" s="1"/>
      <c r="C30" s="1"/>
      <c r="D30" s="4" t="s">
        <v>39</v>
      </c>
      <c r="E30" s="3" t="str" cm="1">
        <f t="array" aca="1" ref="E30" ca="1">INDEX($A$2:$A$6, RANDBETWEEN(1, 5))</f>
        <v>Менджер</v>
      </c>
      <c r="F30" s="1">
        <f ca="1">[1]Январь1!F30 + RANDBETWEEN(-5000, 5000)</f>
        <v>54050</v>
      </c>
      <c r="G30" s="1">
        <f t="shared" ca="1" si="0"/>
        <v>15288</v>
      </c>
      <c r="H30" s="1">
        <f t="shared" ca="1" si="1"/>
        <v>69338</v>
      </c>
    </row>
    <row r="31" spans="1:8" ht="15.75">
      <c r="A31" s="1"/>
      <c r="B31" s="1"/>
      <c r="C31" s="1"/>
      <c r="D31" s="4" t="s">
        <v>40</v>
      </c>
      <c r="E31" s="3" t="str" cm="1">
        <f t="array" aca="1" ref="E31" ca="1">INDEX($A$2:$A$6, RANDBETWEEN(1, 5))</f>
        <v>Бариста</v>
      </c>
      <c r="F31" s="1">
        <f ca="1">[1]Январь1!F31 + RANDBETWEEN(-5000, 5000)</f>
        <v>51709</v>
      </c>
      <c r="G31" s="1">
        <f t="shared" ca="1" si="0"/>
        <v>9004</v>
      </c>
      <c r="H31" s="1">
        <f t="shared" ca="1" si="1"/>
        <v>60713</v>
      </c>
    </row>
    <row r="32" spans="1:8" ht="15">
      <c r="E32" s="2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B06A-CF8C-4C2B-A43C-C627542D99CB}">
  <dimension ref="A1:H31"/>
  <sheetViews>
    <sheetView workbookViewId="0">
      <selection activeCell="G33" sqref="G33"/>
    </sheetView>
  </sheetViews>
  <sheetFormatPr defaultRowHeight="14.25"/>
  <cols>
    <col min="2" max="2" width="8.875" customWidth="1"/>
    <col min="3" max="3" width="9" hidden="1" customWidth="1"/>
    <col min="4" max="4" width="32.625" customWidth="1"/>
    <col min="8" max="8" width="17.75" customWidth="1"/>
  </cols>
  <sheetData>
    <row r="1" spans="1:8" ht="15">
      <c r="A1" s="3" t="s">
        <v>1</v>
      </c>
      <c r="B1" s="3" t="s">
        <v>7</v>
      </c>
      <c r="C1" s="1"/>
      <c r="D1" s="3" t="s">
        <v>0</v>
      </c>
      <c r="E1" s="3" t="s">
        <v>1</v>
      </c>
      <c r="F1" s="3" t="s">
        <v>2</v>
      </c>
      <c r="G1" s="3" t="s">
        <v>3</v>
      </c>
      <c r="H1" s="3" t="s">
        <v>10</v>
      </c>
    </row>
    <row r="2" spans="1:8" ht="15.75">
      <c r="A2" s="3" t="s">
        <v>4</v>
      </c>
      <c r="B2" s="3">
        <v>100000</v>
      </c>
      <c r="C2" s="1"/>
      <c r="D2" s="4" t="s">
        <v>12</v>
      </c>
      <c r="E2" s="3" t="str" cm="1">
        <f t="array" aca="1" ref="E2" ca="1">INDEX($A$2:$A$6, RANDBETWEEN(1, 5))</f>
        <v>Кассир</v>
      </c>
      <c r="F2" s="1">
        <f ca="1">[1]Январь1!F2 + RANDBETWEEN(-5000, 5000)</f>
        <v>7557</v>
      </c>
      <c r="G2" s="1">
        <f ca="1">RANDBETWEEN(30000, 40000)</f>
        <v>35111</v>
      </c>
      <c r="H2" s="1">
        <f ca="1">F2+G2</f>
        <v>42668</v>
      </c>
    </row>
    <row r="3" spans="1:8" ht="15.75">
      <c r="A3" s="3" t="s">
        <v>8</v>
      </c>
      <c r="B3" s="3">
        <v>60000</v>
      </c>
      <c r="C3" s="1"/>
      <c r="D3" s="4" t="s">
        <v>11</v>
      </c>
      <c r="E3" s="3" t="str" cm="1">
        <f t="array" aca="1" ref="E3" ca="1">INDEX($A$2:$A$6, RANDBETWEEN(1, 5))</f>
        <v>Кассир</v>
      </c>
      <c r="F3" s="1">
        <f ca="1">[1]Январь1!F3 + RANDBETWEEN(-5000, 5000)</f>
        <v>-577</v>
      </c>
      <c r="G3" s="1">
        <f t="shared" ref="G3:G31" ca="1" si="0">RANDBETWEEN(30000, 40000)</f>
        <v>37918</v>
      </c>
      <c r="H3" s="1">
        <f ca="1">F3+G3</f>
        <v>37341</v>
      </c>
    </row>
    <row r="4" spans="1:8" ht="15.75">
      <c r="A4" s="3" t="s">
        <v>5</v>
      </c>
      <c r="B4" s="3">
        <v>45000</v>
      </c>
      <c r="C4" s="1"/>
      <c r="D4" s="4" t="s">
        <v>13</v>
      </c>
      <c r="E4" s="3" t="str" cm="1">
        <f t="array" aca="1" ref="E4" ca="1">INDEX($A$2:$A$6, RANDBETWEEN(1, 5))</f>
        <v>Директор</v>
      </c>
      <c r="F4" s="1">
        <f ca="1">[1]Январь1!F4 + RANDBETWEEN(-5000, 5000)</f>
        <v>-8663</v>
      </c>
      <c r="G4" s="1">
        <f t="shared" ca="1" si="0"/>
        <v>32572</v>
      </c>
      <c r="H4" s="1">
        <f ca="1">F4+G4</f>
        <v>23909</v>
      </c>
    </row>
    <row r="5" spans="1:8" ht="15.75">
      <c r="A5" s="3" t="s">
        <v>9</v>
      </c>
      <c r="B5" s="3">
        <v>40000</v>
      </c>
      <c r="C5" s="1"/>
      <c r="D5" s="4" t="s">
        <v>14</v>
      </c>
      <c r="E5" s="3" t="str" cm="1">
        <f t="array" aca="1" ref="E5" ca="1">INDEX($A$2:$A$6, RANDBETWEEN(1, 5))</f>
        <v>Кассир</v>
      </c>
      <c r="F5" s="1">
        <f ca="1">[1]Январь1!F5 + RANDBETWEEN(-5000, 5000)</f>
        <v>6032</v>
      </c>
      <c r="G5" s="1">
        <f t="shared" ca="1" si="0"/>
        <v>39540</v>
      </c>
      <c r="H5" s="1">
        <f ca="1">F5+G5</f>
        <v>45572</v>
      </c>
    </row>
    <row r="6" spans="1:8" ht="15.75">
      <c r="A6" s="3" t="s">
        <v>6</v>
      </c>
      <c r="B6" s="3">
        <v>30000</v>
      </c>
      <c r="C6" s="1"/>
      <c r="D6" s="4" t="s">
        <v>15</v>
      </c>
      <c r="E6" s="3" t="str" cm="1">
        <f t="array" aca="1" ref="E6" ca="1">INDEX($A$2:$A$6, RANDBETWEEN(1, 5))</f>
        <v>Директор</v>
      </c>
      <c r="F6" s="1">
        <f ca="1">[1]Январь1!F6 + RANDBETWEEN(-5000, 5000)</f>
        <v>1375</v>
      </c>
      <c r="G6" s="1">
        <f t="shared" ca="1" si="0"/>
        <v>39169</v>
      </c>
      <c r="H6" s="1">
        <f ca="1">F6+G6</f>
        <v>40544</v>
      </c>
    </row>
    <row r="7" spans="1:8" ht="15.75">
      <c r="A7" s="1"/>
      <c r="B7" s="1"/>
      <c r="C7" s="1"/>
      <c r="D7" s="4" t="s">
        <v>16</v>
      </c>
      <c r="E7" s="3" t="str" cm="1">
        <f t="array" aca="1" ref="E7" ca="1">INDEX($A$2:$A$6, RANDBETWEEN(1, 5))</f>
        <v>Менджер</v>
      </c>
      <c r="F7" s="1">
        <f ca="1">[1]Январь1!F7 + RANDBETWEEN(-5000, 5000)</f>
        <v>56546</v>
      </c>
      <c r="G7" s="1">
        <f t="shared" ca="1" si="0"/>
        <v>32159</v>
      </c>
      <c r="H7" s="1">
        <f ca="1">F7+G7</f>
        <v>88705</v>
      </c>
    </row>
    <row r="8" spans="1:8" ht="15.75">
      <c r="A8" s="1"/>
      <c r="B8" s="1"/>
      <c r="C8" s="1"/>
      <c r="D8" s="4" t="s">
        <v>17</v>
      </c>
      <c r="E8" s="3" t="str" cm="1">
        <f t="array" aca="1" ref="E8" ca="1">INDEX($A$2:$A$6, RANDBETWEEN(1, 5))</f>
        <v>Кассир</v>
      </c>
      <c r="F8" s="1">
        <f ca="1">[1]Январь1!F8 + RANDBETWEEN(-5000, 5000)</f>
        <v>48489</v>
      </c>
      <c r="G8" s="1">
        <f t="shared" ca="1" si="0"/>
        <v>34283</v>
      </c>
      <c r="H8" s="1">
        <f ca="1">F8+G8</f>
        <v>82772</v>
      </c>
    </row>
    <row r="9" spans="1:8" ht="15.75">
      <c r="A9" s="1"/>
      <c r="B9" s="1"/>
      <c r="C9" s="1"/>
      <c r="D9" s="4" t="s">
        <v>18</v>
      </c>
      <c r="E9" s="3" t="str" cm="1">
        <f t="array" aca="1" ref="E9" ca="1">INDEX($A$2:$A$6, RANDBETWEEN(1, 5))</f>
        <v>Директор</v>
      </c>
      <c r="F9" s="1">
        <f ca="1">[1]Январь1!F9 + RANDBETWEEN(-5000, 5000)</f>
        <v>46055</v>
      </c>
      <c r="G9" s="1">
        <f t="shared" ca="1" si="0"/>
        <v>36991</v>
      </c>
      <c r="H9" s="1">
        <f ca="1">F9+G9</f>
        <v>83046</v>
      </c>
    </row>
    <row r="10" spans="1:8" ht="15.75">
      <c r="A10" s="1"/>
      <c r="B10" s="1"/>
      <c r="C10" s="1"/>
      <c r="D10" s="4" t="s">
        <v>19</v>
      </c>
      <c r="E10" s="3" t="str" cm="1">
        <f t="array" aca="1" ref="E10" ca="1">INDEX($A$2:$A$6, RANDBETWEEN(1, 5))</f>
        <v>Уборщик</v>
      </c>
      <c r="F10" s="1">
        <f ca="1">[1]Январь1!F10 + RANDBETWEEN(-5000, 5000)</f>
        <v>45613</v>
      </c>
      <c r="G10" s="1">
        <f t="shared" ca="1" si="0"/>
        <v>38965</v>
      </c>
      <c r="H10" s="1">
        <f ca="1">F10+G10</f>
        <v>84578</v>
      </c>
    </row>
    <row r="11" spans="1:8" ht="15.75">
      <c r="A11" s="1"/>
      <c r="B11" s="1"/>
      <c r="C11" s="1"/>
      <c r="D11" s="4" t="s">
        <v>20</v>
      </c>
      <c r="E11" s="3" t="str" cm="1">
        <f t="array" aca="1" ref="E11" ca="1">INDEX($A$2:$A$6, RANDBETWEEN(1, 5))</f>
        <v>Директор</v>
      </c>
      <c r="F11" s="1">
        <f ca="1">[1]Январь1!F11 + RANDBETWEEN(-5000, 5000)</f>
        <v>45704</v>
      </c>
      <c r="G11" s="1">
        <f t="shared" ca="1" si="0"/>
        <v>33449</v>
      </c>
      <c r="H11" s="1">
        <f ca="1">F11+G11</f>
        <v>79153</v>
      </c>
    </row>
    <row r="12" spans="1:8" ht="15.75">
      <c r="A12" s="1"/>
      <c r="B12" s="1"/>
      <c r="C12" s="1"/>
      <c r="D12" s="4" t="s">
        <v>22</v>
      </c>
      <c r="E12" s="3" t="str" cm="1">
        <f t="array" aca="1" ref="E12" ca="1">INDEX($A$2:$A$6, RANDBETWEEN(1, 5))</f>
        <v>Директор</v>
      </c>
      <c r="F12" s="1">
        <f ca="1">[1]Январь1!F12 + RANDBETWEEN(-5000, 5000)</f>
        <v>33644</v>
      </c>
      <c r="G12" s="1">
        <f t="shared" ca="1" si="0"/>
        <v>35231</v>
      </c>
      <c r="H12" s="1">
        <f ca="1">F12+G12</f>
        <v>68875</v>
      </c>
    </row>
    <row r="13" spans="1:8" ht="15.75">
      <c r="A13" s="1"/>
      <c r="B13" s="1"/>
      <c r="C13" s="1"/>
      <c r="D13" s="4" t="s">
        <v>21</v>
      </c>
      <c r="E13" s="3" t="str" cm="1">
        <f t="array" aca="1" ref="E13" ca="1">INDEX($A$2:$A$6, RANDBETWEEN(1, 5))</f>
        <v>Уборщик</v>
      </c>
      <c r="F13" s="1">
        <f ca="1">[1]Январь1!F13 + RANDBETWEEN(-5000, 5000)</f>
        <v>27564</v>
      </c>
      <c r="G13" s="1">
        <f t="shared" ca="1" si="0"/>
        <v>30393</v>
      </c>
      <c r="H13" s="1">
        <f ca="1">F13+G13</f>
        <v>57957</v>
      </c>
    </row>
    <row r="14" spans="1:8" ht="15.75">
      <c r="A14" s="1"/>
      <c r="B14" s="1"/>
      <c r="C14" s="1"/>
      <c r="D14" s="4" t="s">
        <v>23</v>
      </c>
      <c r="E14" s="3" t="str" cm="1">
        <f t="array" aca="1" ref="E14" ca="1">INDEX($A$2:$A$6, RANDBETWEEN(1, 5))</f>
        <v>Директор</v>
      </c>
      <c r="F14" s="1">
        <f ca="1">[1]Январь1!F14 + RANDBETWEEN(-5000, 5000)</f>
        <v>101896</v>
      </c>
      <c r="G14" s="1">
        <f t="shared" ca="1" si="0"/>
        <v>32952</v>
      </c>
      <c r="H14" s="1">
        <f ca="1">F14+G14</f>
        <v>134848</v>
      </c>
    </row>
    <row r="15" spans="1:8" ht="15.75">
      <c r="A15" s="1"/>
      <c r="B15" s="1"/>
      <c r="C15" s="1"/>
      <c r="D15" s="4" t="s">
        <v>24</v>
      </c>
      <c r="E15" s="3" t="str" cm="1">
        <f t="array" aca="1" ref="E15" ca="1">INDEX($A$2:$A$6, RANDBETWEEN(1, 5))</f>
        <v>Директор</v>
      </c>
      <c r="F15" s="1">
        <f ca="1">[1]Январь1!F15 + RANDBETWEEN(-5000, 5000)</f>
        <v>39535</v>
      </c>
      <c r="G15" s="1">
        <f t="shared" ca="1" si="0"/>
        <v>38485</v>
      </c>
      <c r="H15" s="1">
        <f ca="1">F15+G15</f>
        <v>78020</v>
      </c>
    </row>
    <row r="16" spans="1:8" ht="15.75">
      <c r="A16" s="1"/>
      <c r="B16" s="1"/>
      <c r="C16" s="1"/>
      <c r="D16" s="4" t="s">
        <v>25</v>
      </c>
      <c r="E16" s="3" t="str" cm="1">
        <f t="array" aca="1" ref="E16" ca="1">INDEX($A$2:$A$6, RANDBETWEEN(1, 5))</f>
        <v>Менджер</v>
      </c>
      <c r="F16" s="1">
        <f ca="1">[1]Январь1!F16 + RANDBETWEEN(-5000, 5000)</f>
        <v>47349</v>
      </c>
      <c r="G16" s="1">
        <f t="shared" ca="1" si="0"/>
        <v>36692</v>
      </c>
      <c r="H16" s="1">
        <f ca="1">F16+G16</f>
        <v>84041</v>
      </c>
    </row>
    <row r="17" spans="1:8" ht="15.75">
      <c r="A17" s="1"/>
      <c r="B17" s="1"/>
      <c r="C17" s="1"/>
      <c r="D17" s="4" t="s">
        <v>26</v>
      </c>
      <c r="E17" s="3" t="str" cm="1">
        <f t="array" aca="1" ref="E17" ca="1">INDEX($A$2:$A$6, RANDBETWEEN(1, 5))</f>
        <v>Менджер</v>
      </c>
      <c r="F17" s="1">
        <f ca="1">[1]Январь1!F17 + RANDBETWEEN(-5000, 5000)</f>
        <v>57352</v>
      </c>
      <c r="G17" s="1">
        <f t="shared" ca="1" si="0"/>
        <v>30562</v>
      </c>
      <c r="H17" s="1">
        <f ca="1">F17+G17</f>
        <v>87914</v>
      </c>
    </row>
    <row r="18" spans="1:8" ht="15.75">
      <c r="A18" s="1"/>
      <c r="B18" s="1"/>
      <c r="C18" s="1"/>
      <c r="D18" s="4" t="s">
        <v>27</v>
      </c>
      <c r="E18" s="3" t="str" cm="1">
        <f t="array" aca="1" ref="E18" ca="1">INDEX($A$2:$A$6, RANDBETWEEN(1, 5))</f>
        <v>Менджер</v>
      </c>
      <c r="F18" s="1">
        <f ca="1">[1]Январь1!F18 + RANDBETWEEN(-5000, 5000)</f>
        <v>94356</v>
      </c>
      <c r="G18" s="1">
        <f t="shared" ca="1" si="0"/>
        <v>37567</v>
      </c>
      <c r="H18" s="1">
        <f ca="1">F18+G18</f>
        <v>131923</v>
      </c>
    </row>
    <row r="19" spans="1:8" ht="15.75">
      <c r="A19" s="1"/>
      <c r="B19" s="1"/>
      <c r="C19" s="1"/>
      <c r="D19" s="4" t="s">
        <v>28</v>
      </c>
      <c r="E19" s="3" t="str" cm="1">
        <f t="array" aca="1" ref="E19" ca="1">INDEX($A$2:$A$6, RANDBETWEEN(1, 5))</f>
        <v>Директор</v>
      </c>
      <c r="F19" s="1">
        <f ca="1">[1]Январь1!F19 + RANDBETWEEN(-5000, 5000)</f>
        <v>89898</v>
      </c>
      <c r="G19" s="1">
        <f t="shared" ca="1" si="0"/>
        <v>37196</v>
      </c>
      <c r="H19" s="1">
        <f ca="1">F19+G19</f>
        <v>127094</v>
      </c>
    </row>
    <row r="20" spans="1:8" ht="15.75">
      <c r="A20" s="1"/>
      <c r="B20" s="1"/>
      <c r="C20" s="1"/>
      <c r="D20" s="4" t="s">
        <v>29</v>
      </c>
      <c r="E20" s="3" t="str" cm="1">
        <f t="array" aca="1" ref="E20" ca="1">INDEX($A$2:$A$6, RANDBETWEEN(1, 5))</f>
        <v>Менджер</v>
      </c>
      <c r="F20" s="1">
        <f ca="1">[1]Январь1!F20 + RANDBETWEEN(-5000, 5000)</f>
        <v>37271</v>
      </c>
      <c r="G20" s="1">
        <f t="shared" ca="1" si="0"/>
        <v>37656</v>
      </c>
      <c r="H20" s="1">
        <f ca="1">F20+G20</f>
        <v>74927</v>
      </c>
    </row>
    <row r="21" spans="1:8" ht="15.75">
      <c r="A21" s="1"/>
      <c r="B21" s="1"/>
      <c r="C21" s="1"/>
      <c r="D21" s="4" t="s">
        <v>30</v>
      </c>
      <c r="E21" s="3" t="str" cm="1">
        <f t="array" aca="1" ref="E21" ca="1">INDEX($A$2:$A$6, RANDBETWEEN(1, 5))</f>
        <v>Бариста</v>
      </c>
      <c r="F21" s="1">
        <f ca="1">[1]Январь1!F21 + RANDBETWEEN(-5000, 5000)</f>
        <v>40673</v>
      </c>
      <c r="G21" s="1">
        <f t="shared" ca="1" si="0"/>
        <v>32673</v>
      </c>
      <c r="H21" s="1">
        <f ca="1">F21+G21</f>
        <v>73346</v>
      </c>
    </row>
    <row r="22" spans="1:8" ht="15.75">
      <c r="A22" s="1"/>
      <c r="B22" s="1"/>
      <c r="C22" s="1"/>
      <c r="D22" s="4" t="s">
        <v>31</v>
      </c>
      <c r="E22" s="3" t="str" cm="1">
        <f t="array" aca="1" ref="E22" ca="1">INDEX($A$2:$A$6, RANDBETWEEN(1, 5))</f>
        <v>Кассир</v>
      </c>
      <c r="F22" s="1">
        <f ca="1">[1]Январь1!F22 + RANDBETWEEN(-5000, 5000)</f>
        <v>38292</v>
      </c>
      <c r="G22" s="1">
        <f t="shared" ca="1" si="0"/>
        <v>33635</v>
      </c>
      <c r="H22" s="1">
        <f ca="1">F22+G22</f>
        <v>71927</v>
      </c>
    </row>
    <row r="23" spans="1:8" ht="15.75">
      <c r="A23" s="1"/>
      <c r="B23" s="1"/>
      <c r="C23" s="1"/>
      <c r="D23" s="4" t="s">
        <v>32</v>
      </c>
      <c r="E23" s="3" t="str" cm="1">
        <f t="array" aca="1" ref="E23" ca="1">INDEX($A$2:$A$6, RANDBETWEEN(1, 5))</f>
        <v>Бариста</v>
      </c>
      <c r="F23" s="1">
        <f ca="1">[1]Январь1!F23 + RANDBETWEEN(-5000, 5000)</f>
        <v>56709</v>
      </c>
      <c r="G23" s="1">
        <f t="shared" ca="1" si="0"/>
        <v>35691</v>
      </c>
      <c r="H23" s="1">
        <f ca="1">F23+G23</f>
        <v>92400</v>
      </c>
    </row>
    <row r="24" spans="1:8" ht="15.75">
      <c r="A24" s="1"/>
      <c r="B24" s="1"/>
      <c r="C24" s="1"/>
      <c r="D24" s="4" t="s">
        <v>33</v>
      </c>
      <c r="E24" s="3" t="str" cm="1">
        <f t="array" aca="1" ref="E24" ca="1">INDEX($A$2:$A$6, RANDBETWEEN(1, 5))</f>
        <v>Директор</v>
      </c>
      <c r="F24" s="1">
        <f ca="1">[1]Январь1!F24 + RANDBETWEEN(-5000, 5000)</f>
        <v>46526</v>
      </c>
      <c r="G24" s="1">
        <f t="shared" ca="1" si="0"/>
        <v>31608</v>
      </c>
      <c r="H24" s="1">
        <f ca="1">F24+G24</f>
        <v>78134</v>
      </c>
    </row>
    <row r="25" spans="1:8" ht="15.75">
      <c r="A25" s="1"/>
      <c r="B25" s="1"/>
      <c r="C25" s="1"/>
      <c r="D25" s="4" t="s">
        <v>34</v>
      </c>
      <c r="E25" s="3" t="str" cm="1">
        <f t="array" aca="1" ref="E25" ca="1">INDEX($A$2:$A$6, RANDBETWEEN(1, 5))</f>
        <v>Уборщик</v>
      </c>
      <c r="F25" s="1">
        <f ca="1">[1]Январь1!F25 + RANDBETWEEN(-5000, 5000)</f>
        <v>62366</v>
      </c>
      <c r="G25" s="1">
        <f t="shared" ca="1" si="0"/>
        <v>30715</v>
      </c>
      <c r="H25" s="1">
        <f ca="1">F25+G25</f>
        <v>93081</v>
      </c>
    </row>
    <row r="26" spans="1:8" ht="15.75">
      <c r="A26" s="1"/>
      <c r="B26" s="1"/>
      <c r="C26" s="1"/>
      <c r="D26" s="4" t="s">
        <v>35</v>
      </c>
      <c r="E26" s="3" t="str" cm="1">
        <f t="array" aca="1" ref="E26" ca="1">INDEX($A$2:$A$6, RANDBETWEEN(1, 5))</f>
        <v>Менджер</v>
      </c>
      <c r="F26" s="1">
        <f ca="1">[1]Январь1!F26 + RANDBETWEEN(-5000, 5000)</f>
        <v>33907</v>
      </c>
      <c r="G26" s="1">
        <f t="shared" ca="1" si="0"/>
        <v>36445</v>
      </c>
      <c r="H26" s="1">
        <f ca="1">F26+G26</f>
        <v>70352</v>
      </c>
    </row>
    <row r="27" spans="1:8" ht="15.75">
      <c r="A27" s="1"/>
      <c r="B27" s="1"/>
      <c r="C27" s="1"/>
      <c r="D27" s="4" t="s">
        <v>36</v>
      </c>
      <c r="E27" s="3" t="str" cm="1">
        <f t="array" aca="1" ref="E27" ca="1">INDEX($A$2:$A$6, RANDBETWEEN(1, 5))</f>
        <v>Уборщик</v>
      </c>
      <c r="F27" s="1">
        <f ca="1">[1]Январь1!F27 + RANDBETWEEN(-5000, 5000)</f>
        <v>53828</v>
      </c>
      <c r="G27" s="1">
        <f t="shared" ca="1" si="0"/>
        <v>33934</v>
      </c>
      <c r="H27" s="1">
        <f ca="1">F27+G27</f>
        <v>87762</v>
      </c>
    </row>
    <row r="28" spans="1:8" ht="15.75">
      <c r="A28" s="1"/>
      <c r="B28" s="1"/>
      <c r="C28" s="1"/>
      <c r="D28" s="4" t="s">
        <v>37</v>
      </c>
      <c r="E28" s="3" t="str" cm="1">
        <f t="array" aca="1" ref="E28" ca="1">INDEX($A$2:$A$6, RANDBETWEEN(1, 5))</f>
        <v>Бариста</v>
      </c>
      <c r="F28" s="1">
        <f ca="1">[1]Январь1!F28 + RANDBETWEEN(-5000, 5000)</f>
        <v>36107</v>
      </c>
      <c r="G28" s="1">
        <f t="shared" ca="1" si="0"/>
        <v>33743</v>
      </c>
      <c r="H28" s="1">
        <f ca="1">F28+G28</f>
        <v>69850</v>
      </c>
    </row>
    <row r="29" spans="1:8" ht="15.75">
      <c r="A29" s="1"/>
      <c r="B29" s="1"/>
      <c r="C29" s="1"/>
      <c r="D29" s="4" t="s">
        <v>38</v>
      </c>
      <c r="E29" s="3" t="str" cm="1">
        <f t="array" aca="1" ref="E29" ca="1">INDEX($A$2:$A$6, RANDBETWEEN(1, 5))</f>
        <v>Бариста</v>
      </c>
      <c r="F29" s="1">
        <f ca="1">[1]Январь1!F29 + RANDBETWEEN(-5000, 5000)</f>
        <v>28766</v>
      </c>
      <c r="G29" s="1">
        <f t="shared" ca="1" si="0"/>
        <v>39743</v>
      </c>
      <c r="H29" s="1">
        <f ca="1">F29+G29</f>
        <v>68509</v>
      </c>
    </row>
    <row r="30" spans="1:8" ht="15.75">
      <c r="A30" s="1"/>
      <c r="B30" s="1"/>
      <c r="C30" s="1"/>
      <c r="D30" s="4" t="s">
        <v>39</v>
      </c>
      <c r="E30" s="3" t="str" cm="1">
        <f t="array" aca="1" ref="E30" ca="1">INDEX($A$2:$A$6, RANDBETWEEN(1, 5))</f>
        <v>Директор</v>
      </c>
      <c r="F30" s="1">
        <f ca="1">[1]Январь1!F30 + RANDBETWEEN(-5000, 5000)</f>
        <v>58588</v>
      </c>
      <c r="G30" s="1">
        <f t="shared" ca="1" si="0"/>
        <v>30296</v>
      </c>
      <c r="H30" s="1">
        <f ca="1">F30+G30</f>
        <v>88884</v>
      </c>
    </row>
    <row r="31" spans="1:8" ht="15.75">
      <c r="A31" s="1"/>
      <c r="B31" s="1"/>
      <c r="C31" s="1"/>
      <c r="D31" s="4" t="s">
        <v>40</v>
      </c>
      <c r="E31" s="3" t="str" cm="1">
        <f t="array" aca="1" ref="E31" ca="1">INDEX($A$2:$A$6, RANDBETWEEN(1, 5))</f>
        <v>Менджер</v>
      </c>
      <c r="F31" s="1">
        <f ca="1">[1]Январь1!F31 + RANDBETWEEN(-5000, 5000)</f>
        <v>48260</v>
      </c>
      <c r="G31" s="1">
        <f t="shared" ca="1" si="0"/>
        <v>36335</v>
      </c>
      <c r="H31" s="1">
        <f ca="1">F31+G31</f>
        <v>84595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9D93-DE49-4C1F-819F-EDE80556AC31}">
  <dimension ref="A1:H32"/>
  <sheetViews>
    <sheetView workbookViewId="0">
      <selection activeCell="F2" sqref="F2:F31"/>
    </sheetView>
  </sheetViews>
  <sheetFormatPr defaultRowHeight="14.25"/>
  <cols>
    <col min="2" max="2" width="9" customWidth="1"/>
    <col min="3" max="3" width="9" hidden="1" customWidth="1"/>
    <col min="4" max="4" width="32.625" customWidth="1"/>
    <col min="8" max="8" width="17.625" customWidth="1"/>
  </cols>
  <sheetData>
    <row r="1" spans="1:8" ht="15">
      <c r="A1" s="3" t="s">
        <v>1</v>
      </c>
      <c r="B1" s="3" t="s">
        <v>7</v>
      </c>
      <c r="C1" s="1"/>
      <c r="D1" s="3" t="s">
        <v>0</v>
      </c>
      <c r="E1" s="3" t="s">
        <v>1</v>
      </c>
      <c r="F1" s="3" t="s">
        <v>2</v>
      </c>
      <c r="G1" s="3" t="s">
        <v>3</v>
      </c>
      <c r="H1" s="3" t="s">
        <v>10</v>
      </c>
    </row>
    <row r="2" spans="1:8" ht="15.75">
      <c r="A2" s="3" t="s">
        <v>4</v>
      </c>
      <c r="B2" s="3">
        <v>100000</v>
      </c>
      <c r="C2" s="1"/>
      <c r="D2" s="4" t="s">
        <v>12</v>
      </c>
      <c r="E2" s="3" t="str" cm="1">
        <f t="array" aca="1" ref="E2" ca="1">INDEX($A$2:$A$6, RANDBETWEEN(1, 5))</f>
        <v>Уборщик</v>
      </c>
      <c r="F2" s="1">
        <f ca="1">[1]Январь1!F2 + RANDBETWEEN(-5000, 5000)</f>
        <v>7120</v>
      </c>
      <c r="G2" s="1">
        <f ca="1">RANDBETWEEN(10000, 30000)</f>
        <v>18295</v>
      </c>
      <c r="H2" s="1">
        <f ca="1">F2+G2</f>
        <v>25415</v>
      </c>
    </row>
    <row r="3" spans="1:8" ht="15.75">
      <c r="A3" s="3" t="s">
        <v>8</v>
      </c>
      <c r="B3" s="3">
        <v>60000</v>
      </c>
      <c r="C3" s="1"/>
      <c r="D3" s="4" t="s">
        <v>11</v>
      </c>
      <c r="E3" s="3" t="str" cm="1">
        <f t="array" aca="1" ref="E3" ca="1">INDEX($A$2:$A$6, RANDBETWEEN(1, 5))</f>
        <v>Менджер</v>
      </c>
      <c r="F3" s="1">
        <f ca="1">[1]Январь1!F3 + RANDBETWEEN(-5000, 5000)</f>
        <v>-1021</v>
      </c>
      <c r="G3" s="1">
        <f t="shared" ref="G3:G31" ca="1" si="0">RANDBETWEEN(10000, 30000)</f>
        <v>10111</v>
      </c>
      <c r="H3" s="1">
        <f t="shared" ref="H3:H31" ca="1" si="1">F3+G3</f>
        <v>9090</v>
      </c>
    </row>
    <row r="4" spans="1:8" ht="15.75">
      <c r="A4" s="3" t="s">
        <v>5</v>
      </c>
      <c r="B4" s="3">
        <v>45000</v>
      </c>
      <c r="C4" s="1"/>
      <c r="D4" s="4" t="s">
        <v>13</v>
      </c>
      <c r="E4" s="3" t="str" cm="1">
        <f t="array" aca="1" ref="E4" ca="1">INDEX($A$2:$A$6, RANDBETWEEN(1, 5))</f>
        <v>Менджер</v>
      </c>
      <c r="F4" s="1">
        <f ca="1">[1]Январь1!F4 + RANDBETWEEN(-5000, 5000)</f>
        <v>-7319</v>
      </c>
      <c r="G4" s="1">
        <f t="shared" ca="1" si="0"/>
        <v>20692</v>
      </c>
      <c r="H4" s="1">
        <f t="shared" ca="1" si="1"/>
        <v>13373</v>
      </c>
    </row>
    <row r="5" spans="1:8" ht="15.75">
      <c r="A5" s="3" t="s">
        <v>9</v>
      </c>
      <c r="B5" s="3">
        <v>40000</v>
      </c>
      <c r="C5" s="1"/>
      <c r="D5" s="4" t="s">
        <v>14</v>
      </c>
      <c r="E5" s="3" t="str" cm="1">
        <f t="array" aca="1" ref="E5" ca="1">INDEX($A$2:$A$6, RANDBETWEEN(1, 5))</f>
        <v>Кассир</v>
      </c>
      <c r="F5" s="1">
        <f ca="1">[1]Январь1!F5 + RANDBETWEEN(-5000, 5000)</f>
        <v>10749</v>
      </c>
      <c r="G5" s="1">
        <f t="shared" ca="1" si="0"/>
        <v>24707</v>
      </c>
      <c r="H5" s="1">
        <f t="shared" ca="1" si="1"/>
        <v>35456</v>
      </c>
    </row>
    <row r="6" spans="1:8" ht="15.75">
      <c r="A6" s="3" t="s">
        <v>6</v>
      </c>
      <c r="B6" s="3">
        <v>30000</v>
      </c>
      <c r="C6" s="1"/>
      <c r="D6" s="4" t="s">
        <v>15</v>
      </c>
      <c r="E6" s="3" t="str" cm="1">
        <f t="array" aca="1" ref="E6" ca="1">INDEX($A$2:$A$6, RANDBETWEEN(1, 5))</f>
        <v>Менджер</v>
      </c>
      <c r="F6" s="1">
        <f ca="1">[1]Январь1!F6 + RANDBETWEEN(-5000, 5000)</f>
        <v>-4224</v>
      </c>
      <c r="G6" s="1">
        <f t="shared" ca="1" si="0"/>
        <v>20843</v>
      </c>
      <c r="H6" s="1">
        <f t="shared" ca="1" si="1"/>
        <v>16619</v>
      </c>
    </row>
    <row r="7" spans="1:8" ht="15.75">
      <c r="A7" s="1"/>
      <c r="B7" s="1"/>
      <c r="C7" s="1"/>
      <c r="D7" s="4" t="s">
        <v>16</v>
      </c>
      <c r="E7" s="3" t="str" cm="1">
        <f t="array" aca="1" ref="E7" ca="1">INDEX($A$2:$A$6, RANDBETWEEN(1, 5))</f>
        <v>Директор</v>
      </c>
      <c r="F7" s="1">
        <f ca="1">[1]Январь1!F7 + RANDBETWEEN(-5000, 5000)</f>
        <v>54823</v>
      </c>
      <c r="G7" s="1">
        <f t="shared" ca="1" si="0"/>
        <v>11523</v>
      </c>
      <c r="H7" s="1">
        <f t="shared" ca="1" si="1"/>
        <v>66346</v>
      </c>
    </row>
    <row r="8" spans="1:8" ht="15.75">
      <c r="A8" s="1"/>
      <c r="B8" s="1"/>
      <c r="C8" s="1"/>
      <c r="D8" s="4" t="s">
        <v>17</v>
      </c>
      <c r="E8" s="3" t="str" cm="1">
        <f t="array" aca="1" ref="E8" ca="1">INDEX($A$2:$A$6, RANDBETWEEN(1, 5))</f>
        <v>Кассир</v>
      </c>
      <c r="F8" s="1">
        <f ca="1">[1]Январь1!F8 + RANDBETWEEN(-5000, 5000)</f>
        <v>48850</v>
      </c>
      <c r="G8" s="1">
        <f t="shared" ca="1" si="0"/>
        <v>26046</v>
      </c>
      <c r="H8" s="1">
        <f t="shared" ca="1" si="1"/>
        <v>74896</v>
      </c>
    </row>
    <row r="9" spans="1:8" ht="15.75">
      <c r="A9" s="1"/>
      <c r="B9" s="1"/>
      <c r="C9" s="1"/>
      <c r="D9" s="4" t="s">
        <v>18</v>
      </c>
      <c r="E9" s="3" t="str" cm="1">
        <f t="array" aca="1" ref="E9" ca="1">INDEX($A$2:$A$6, RANDBETWEEN(1, 5))</f>
        <v>Менджер</v>
      </c>
      <c r="F9" s="1">
        <f ca="1">[1]Январь1!F9 + RANDBETWEEN(-5000, 5000)</f>
        <v>45635</v>
      </c>
      <c r="G9" s="1">
        <f t="shared" ca="1" si="0"/>
        <v>29973</v>
      </c>
      <c r="H9" s="1">
        <f t="shared" ca="1" si="1"/>
        <v>75608</v>
      </c>
    </row>
    <row r="10" spans="1:8" ht="15.75">
      <c r="A10" s="1"/>
      <c r="B10" s="1"/>
      <c r="C10" s="1"/>
      <c r="D10" s="4" t="s">
        <v>19</v>
      </c>
      <c r="E10" s="3" t="str" cm="1">
        <f t="array" aca="1" ref="E10" ca="1">INDEX($A$2:$A$6, RANDBETWEEN(1, 5))</f>
        <v>Менджер</v>
      </c>
      <c r="F10" s="1">
        <f ca="1">[1]Январь1!F10 + RANDBETWEEN(-5000, 5000)</f>
        <v>47267</v>
      </c>
      <c r="G10" s="1">
        <f t="shared" ca="1" si="0"/>
        <v>12066</v>
      </c>
      <c r="H10" s="1">
        <f t="shared" ca="1" si="1"/>
        <v>59333</v>
      </c>
    </row>
    <row r="11" spans="1:8" ht="15.75">
      <c r="A11" s="1"/>
      <c r="B11" s="1"/>
      <c r="C11" s="1"/>
      <c r="D11" s="4" t="s">
        <v>20</v>
      </c>
      <c r="E11" s="3" t="str" cm="1">
        <f t="array" aca="1" ref="E11" ca="1">INDEX($A$2:$A$6, RANDBETWEEN(1, 5))</f>
        <v>Менджер</v>
      </c>
      <c r="F11" s="1">
        <f ca="1">[1]Январь1!F11 + RANDBETWEEN(-5000, 5000)</f>
        <v>51487</v>
      </c>
      <c r="G11" s="1">
        <f t="shared" ca="1" si="0"/>
        <v>24093</v>
      </c>
      <c r="H11" s="1">
        <f t="shared" ca="1" si="1"/>
        <v>75580</v>
      </c>
    </row>
    <row r="12" spans="1:8" ht="15.75">
      <c r="A12" s="1"/>
      <c r="B12" s="1"/>
      <c r="C12" s="1"/>
      <c r="D12" s="4" t="s">
        <v>22</v>
      </c>
      <c r="E12" s="3" t="str" cm="1">
        <f t="array" aca="1" ref="E12" ca="1">INDEX($A$2:$A$6, RANDBETWEEN(1, 5))</f>
        <v>Директор</v>
      </c>
      <c r="F12" s="1">
        <f ca="1">[1]Январь1!F12 + RANDBETWEEN(-5000, 5000)</f>
        <v>33428</v>
      </c>
      <c r="G12" s="1">
        <f t="shared" ca="1" si="0"/>
        <v>20704</v>
      </c>
      <c r="H12" s="1">
        <f t="shared" ca="1" si="1"/>
        <v>54132</v>
      </c>
    </row>
    <row r="13" spans="1:8" ht="15.75">
      <c r="A13" s="1"/>
      <c r="B13" s="1"/>
      <c r="C13" s="1"/>
      <c r="D13" s="4" t="s">
        <v>21</v>
      </c>
      <c r="E13" s="3" t="str" cm="1">
        <f t="array" aca="1" ref="E13" ca="1">INDEX($A$2:$A$6, RANDBETWEEN(1, 5))</f>
        <v>Уборщик</v>
      </c>
      <c r="F13" s="1">
        <f ca="1">[1]Январь1!F13 + RANDBETWEEN(-5000, 5000)</f>
        <v>29109</v>
      </c>
      <c r="G13" s="1">
        <f t="shared" ca="1" si="0"/>
        <v>16206</v>
      </c>
      <c r="H13" s="1">
        <f t="shared" ca="1" si="1"/>
        <v>45315</v>
      </c>
    </row>
    <row r="14" spans="1:8" ht="15.75">
      <c r="A14" s="1"/>
      <c r="B14" s="1"/>
      <c r="C14" s="1"/>
      <c r="D14" s="4" t="s">
        <v>23</v>
      </c>
      <c r="E14" s="3" t="str" cm="1">
        <f t="array" aca="1" ref="E14" ca="1">INDEX($A$2:$A$6, RANDBETWEEN(1, 5))</f>
        <v>Уборщик</v>
      </c>
      <c r="F14" s="1">
        <f ca="1">[1]Январь1!F14 + RANDBETWEEN(-5000, 5000)</f>
        <v>94549</v>
      </c>
      <c r="G14" s="1">
        <f t="shared" ca="1" si="0"/>
        <v>25549</v>
      </c>
      <c r="H14" s="1">
        <f t="shared" ca="1" si="1"/>
        <v>120098</v>
      </c>
    </row>
    <row r="15" spans="1:8" ht="15.75">
      <c r="A15" s="1"/>
      <c r="B15" s="1"/>
      <c r="C15" s="1"/>
      <c r="D15" s="4" t="s">
        <v>24</v>
      </c>
      <c r="E15" s="3" t="str" cm="1">
        <f t="array" aca="1" ref="E15" ca="1">INDEX($A$2:$A$6, RANDBETWEEN(1, 5))</f>
        <v>Кассир</v>
      </c>
      <c r="F15" s="1">
        <f ca="1">[1]Январь1!F15 + RANDBETWEEN(-5000, 5000)</f>
        <v>38734</v>
      </c>
      <c r="G15" s="1">
        <f t="shared" ca="1" si="0"/>
        <v>11684</v>
      </c>
      <c r="H15" s="1">
        <f t="shared" ca="1" si="1"/>
        <v>50418</v>
      </c>
    </row>
    <row r="16" spans="1:8" ht="15.75">
      <c r="A16" s="1"/>
      <c r="B16" s="1"/>
      <c r="C16" s="1"/>
      <c r="D16" s="4" t="s">
        <v>25</v>
      </c>
      <c r="E16" s="3" t="str" cm="1">
        <f t="array" aca="1" ref="E16" ca="1">INDEX($A$2:$A$6, RANDBETWEEN(1, 5))</f>
        <v>Уборщик</v>
      </c>
      <c r="F16" s="1">
        <f ca="1">[1]Январь1!F16 + RANDBETWEEN(-5000, 5000)</f>
        <v>47693</v>
      </c>
      <c r="G16" s="1">
        <f t="shared" ca="1" si="0"/>
        <v>11421</v>
      </c>
      <c r="H16" s="1">
        <f t="shared" ca="1" si="1"/>
        <v>59114</v>
      </c>
    </row>
    <row r="17" spans="1:8" ht="15.75">
      <c r="A17" s="1"/>
      <c r="B17" s="1"/>
      <c r="C17" s="1"/>
      <c r="D17" s="4" t="s">
        <v>26</v>
      </c>
      <c r="E17" s="3" t="str" cm="1">
        <f t="array" aca="1" ref="E17" ca="1">INDEX($A$2:$A$6, RANDBETWEEN(1, 5))</f>
        <v>Кассир</v>
      </c>
      <c r="F17" s="1">
        <f ca="1">[1]Январь1!F17 + RANDBETWEEN(-5000, 5000)</f>
        <v>60343</v>
      </c>
      <c r="G17" s="1">
        <f t="shared" ca="1" si="0"/>
        <v>25474</v>
      </c>
      <c r="H17" s="1">
        <f t="shared" ca="1" si="1"/>
        <v>85817</v>
      </c>
    </row>
    <row r="18" spans="1:8" ht="15.75">
      <c r="A18" s="1"/>
      <c r="B18" s="1"/>
      <c r="C18" s="1"/>
      <c r="D18" s="4" t="s">
        <v>27</v>
      </c>
      <c r="E18" s="3" t="str" cm="1">
        <f t="array" aca="1" ref="E18" ca="1">INDEX($A$2:$A$6, RANDBETWEEN(1, 5))</f>
        <v>Директор</v>
      </c>
      <c r="F18" s="1">
        <f ca="1">[1]Январь1!F18 + RANDBETWEEN(-5000, 5000)</f>
        <v>96215</v>
      </c>
      <c r="G18" s="1">
        <f t="shared" ca="1" si="0"/>
        <v>20491</v>
      </c>
      <c r="H18" s="1">
        <f t="shared" ca="1" si="1"/>
        <v>116706</v>
      </c>
    </row>
    <row r="19" spans="1:8" ht="15.75">
      <c r="A19" s="1"/>
      <c r="B19" s="1"/>
      <c r="C19" s="1"/>
      <c r="D19" s="4" t="s">
        <v>28</v>
      </c>
      <c r="E19" s="3" t="str" cm="1">
        <f t="array" aca="1" ref="E19" ca="1">INDEX($A$2:$A$6, RANDBETWEEN(1, 5))</f>
        <v>Бариста</v>
      </c>
      <c r="F19" s="1">
        <f ca="1">[1]Январь1!F19 + RANDBETWEEN(-5000, 5000)</f>
        <v>93347</v>
      </c>
      <c r="G19" s="1">
        <f t="shared" ca="1" si="0"/>
        <v>16588</v>
      </c>
      <c r="H19" s="1">
        <f t="shared" ca="1" si="1"/>
        <v>109935</v>
      </c>
    </row>
    <row r="20" spans="1:8" ht="15.75">
      <c r="A20" s="1"/>
      <c r="B20" s="1"/>
      <c r="C20" s="1"/>
      <c r="D20" s="4" t="s">
        <v>29</v>
      </c>
      <c r="E20" s="3" t="str" cm="1">
        <f t="array" aca="1" ref="E20" ca="1">INDEX($A$2:$A$6, RANDBETWEEN(1, 5))</f>
        <v>Директор</v>
      </c>
      <c r="F20" s="1">
        <f ca="1">[1]Январь1!F20 + RANDBETWEEN(-5000, 5000)</f>
        <v>35767</v>
      </c>
      <c r="G20" s="1">
        <f t="shared" ca="1" si="0"/>
        <v>21982</v>
      </c>
      <c r="H20" s="1">
        <f t="shared" ca="1" si="1"/>
        <v>57749</v>
      </c>
    </row>
    <row r="21" spans="1:8" ht="15.75">
      <c r="A21" s="1"/>
      <c r="B21" s="1"/>
      <c r="C21" s="1"/>
      <c r="D21" s="4" t="s">
        <v>30</v>
      </c>
      <c r="E21" s="3" t="str" cm="1">
        <f t="array" aca="1" ref="E21" ca="1">INDEX($A$2:$A$6, RANDBETWEEN(1, 5))</f>
        <v>Менджер</v>
      </c>
      <c r="F21" s="1">
        <f ca="1">[1]Январь1!F21 + RANDBETWEEN(-5000, 5000)</f>
        <v>35398</v>
      </c>
      <c r="G21" s="1">
        <f t="shared" ca="1" si="0"/>
        <v>27781</v>
      </c>
      <c r="H21" s="1">
        <f t="shared" ca="1" si="1"/>
        <v>63179</v>
      </c>
    </row>
    <row r="22" spans="1:8" ht="15.75">
      <c r="A22" s="1"/>
      <c r="B22" s="1"/>
      <c r="C22" s="1"/>
      <c r="D22" s="4" t="s">
        <v>31</v>
      </c>
      <c r="E22" s="3" t="str" cm="1">
        <f t="array" aca="1" ref="E22" ca="1">INDEX($A$2:$A$6, RANDBETWEEN(1, 5))</f>
        <v>Бариста</v>
      </c>
      <c r="F22" s="1">
        <f ca="1">[1]Январь1!F22 + RANDBETWEEN(-5000, 5000)</f>
        <v>39410</v>
      </c>
      <c r="G22" s="1">
        <f t="shared" ca="1" si="0"/>
        <v>16661</v>
      </c>
      <c r="H22" s="1">
        <f t="shared" ca="1" si="1"/>
        <v>56071</v>
      </c>
    </row>
    <row r="23" spans="1:8" ht="15.75">
      <c r="A23" s="1"/>
      <c r="B23" s="1"/>
      <c r="C23" s="1"/>
      <c r="D23" s="4" t="s">
        <v>32</v>
      </c>
      <c r="E23" s="3" t="str" cm="1">
        <f t="array" aca="1" ref="E23" ca="1">INDEX($A$2:$A$6, RANDBETWEEN(1, 5))</f>
        <v>Менджер</v>
      </c>
      <c r="F23" s="1">
        <f ca="1">[1]Январь1!F23 + RANDBETWEEN(-5000, 5000)</f>
        <v>54814</v>
      </c>
      <c r="G23" s="1">
        <f t="shared" ca="1" si="0"/>
        <v>28470</v>
      </c>
      <c r="H23" s="1">
        <f t="shared" ca="1" si="1"/>
        <v>83284</v>
      </c>
    </row>
    <row r="24" spans="1:8" ht="15.75">
      <c r="A24" s="1"/>
      <c r="B24" s="1"/>
      <c r="C24" s="1"/>
      <c r="D24" s="4" t="s">
        <v>33</v>
      </c>
      <c r="E24" s="3" t="str" cm="1">
        <f t="array" aca="1" ref="E24" ca="1">INDEX($A$2:$A$6, RANDBETWEEN(1, 5))</f>
        <v>Директор</v>
      </c>
      <c r="F24" s="1">
        <f ca="1">[1]Январь1!F24 + RANDBETWEEN(-5000, 5000)</f>
        <v>49222</v>
      </c>
      <c r="G24" s="1">
        <f t="shared" ca="1" si="0"/>
        <v>22864</v>
      </c>
      <c r="H24" s="1">
        <f t="shared" ca="1" si="1"/>
        <v>72086</v>
      </c>
    </row>
    <row r="25" spans="1:8" ht="15.75">
      <c r="A25" s="1"/>
      <c r="B25" s="1"/>
      <c r="C25" s="1"/>
      <c r="D25" s="4" t="s">
        <v>34</v>
      </c>
      <c r="E25" s="3" t="str" cm="1">
        <f t="array" aca="1" ref="E25" ca="1">INDEX($A$2:$A$6, RANDBETWEEN(1, 5))</f>
        <v>Уборщик</v>
      </c>
      <c r="F25" s="1">
        <f ca="1">[1]Январь1!F25 + RANDBETWEEN(-5000, 5000)</f>
        <v>63542</v>
      </c>
      <c r="G25" s="1">
        <f t="shared" ca="1" si="0"/>
        <v>15389</v>
      </c>
      <c r="H25" s="1">
        <f t="shared" ca="1" si="1"/>
        <v>78931</v>
      </c>
    </row>
    <row r="26" spans="1:8" ht="15.75">
      <c r="A26" s="1"/>
      <c r="B26" s="1"/>
      <c r="C26" s="1"/>
      <c r="D26" s="4" t="s">
        <v>35</v>
      </c>
      <c r="E26" s="3" t="str" cm="1">
        <f t="array" aca="1" ref="E26" ca="1">INDEX($A$2:$A$6, RANDBETWEEN(1, 5))</f>
        <v>Уборщик</v>
      </c>
      <c r="F26" s="1">
        <f ca="1">[1]Январь1!F26 + RANDBETWEEN(-5000, 5000)</f>
        <v>28474</v>
      </c>
      <c r="G26" s="1">
        <f t="shared" ca="1" si="0"/>
        <v>18823</v>
      </c>
      <c r="H26" s="1">
        <f t="shared" ca="1" si="1"/>
        <v>47297</v>
      </c>
    </row>
    <row r="27" spans="1:8" ht="15.75">
      <c r="A27" s="1"/>
      <c r="B27" s="1"/>
      <c r="C27" s="1"/>
      <c r="D27" s="4" t="s">
        <v>36</v>
      </c>
      <c r="E27" s="3" t="str" cm="1">
        <f t="array" aca="1" ref="E27" ca="1">INDEX($A$2:$A$6, RANDBETWEEN(1, 5))</f>
        <v>Уборщик</v>
      </c>
      <c r="F27" s="1">
        <f ca="1">[1]Январь1!F27 + RANDBETWEEN(-5000, 5000)</f>
        <v>56966</v>
      </c>
      <c r="G27" s="1">
        <f t="shared" ca="1" si="0"/>
        <v>22016</v>
      </c>
      <c r="H27" s="1">
        <f t="shared" ca="1" si="1"/>
        <v>78982</v>
      </c>
    </row>
    <row r="28" spans="1:8" ht="15.75">
      <c r="A28" s="1"/>
      <c r="B28" s="1"/>
      <c r="C28" s="1"/>
      <c r="D28" s="4" t="s">
        <v>37</v>
      </c>
      <c r="E28" s="3" t="str" cm="1">
        <f t="array" aca="1" ref="E28" ca="1">INDEX($A$2:$A$6, RANDBETWEEN(1, 5))</f>
        <v>Менджер</v>
      </c>
      <c r="F28" s="1">
        <f ca="1">[1]Январь1!F28 + RANDBETWEEN(-5000, 5000)</f>
        <v>37692</v>
      </c>
      <c r="G28" s="1">
        <f t="shared" ca="1" si="0"/>
        <v>13317</v>
      </c>
      <c r="H28" s="1">
        <f t="shared" ca="1" si="1"/>
        <v>51009</v>
      </c>
    </row>
    <row r="29" spans="1:8" ht="15.75">
      <c r="A29" s="1"/>
      <c r="B29" s="1"/>
      <c r="C29" s="1"/>
      <c r="D29" s="4" t="s">
        <v>38</v>
      </c>
      <c r="E29" s="3" t="str" cm="1">
        <f t="array" aca="1" ref="E29" ca="1">INDEX($A$2:$A$6, RANDBETWEEN(1, 5))</f>
        <v>Директор</v>
      </c>
      <c r="F29" s="1">
        <f ca="1">[1]Январь1!F29 + RANDBETWEEN(-5000, 5000)</f>
        <v>29702</v>
      </c>
      <c r="G29" s="1">
        <f t="shared" ca="1" si="0"/>
        <v>27393</v>
      </c>
      <c r="H29" s="1">
        <f t="shared" ca="1" si="1"/>
        <v>57095</v>
      </c>
    </row>
    <row r="30" spans="1:8" ht="15.75">
      <c r="A30" s="1"/>
      <c r="B30" s="1"/>
      <c r="C30" s="1"/>
      <c r="D30" s="4" t="s">
        <v>39</v>
      </c>
      <c r="E30" s="3" t="str" cm="1">
        <f t="array" aca="1" ref="E30" ca="1">INDEX($A$2:$A$6, RANDBETWEEN(1, 5))</f>
        <v>Бариста</v>
      </c>
      <c r="F30" s="1">
        <f ca="1">[1]Январь1!F30 + RANDBETWEEN(-5000, 5000)</f>
        <v>57882</v>
      </c>
      <c r="G30" s="1">
        <f t="shared" ca="1" si="0"/>
        <v>20890</v>
      </c>
      <c r="H30" s="1">
        <f t="shared" ca="1" si="1"/>
        <v>78772</v>
      </c>
    </row>
    <row r="31" spans="1:8" ht="15.75">
      <c r="A31" s="1"/>
      <c r="B31" s="1"/>
      <c r="C31" s="1"/>
      <c r="D31" s="4" t="s">
        <v>40</v>
      </c>
      <c r="E31" s="3" t="str" cm="1">
        <f t="array" aca="1" ref="E31" ca="1">INDEX($A$2:$A$6, RANDBETWEEN(1, 5))</f>
        <v>Уборщик</v>
      </c>
      <c r="F31" s="1">
        <f ca="1">[1]Январь1!F31 + RANDBETWEEN(-5000, 5000)</f>
        <v>51387</v>
      </c>
      <c r="G31" s="1">
        <f t="shared" ca="1" si="0"/>
        <v>13223</v>
      </c>
      <c r="H31" s="1">
        <f t="shared" ca="1" si="1"/>
        <v>64610</v>
      </c>
    </row>
    <row r="32" spans="1:8">
      <c r="G3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C495-9A10-4734-BEE7-3BC83E666CD3}">
  <dimension ref="A1:H31"/>
  <sheetViews>
    <sheetView workbookViewId="0">
      <selection activeCell="F2" sqref="F2:F31"/>
    </sheetView>
  </sheetViews>
  <sheetFormatPr defaultRowHeight="14.25"/>
  <cols>
    <col min="3" max="3" width="9" hidden="1" customWidth="1"/>
    <col min="4" max="4" width="32.375" customWidth="1"/>
    <col min="8" max="8" width="17.75" customWidth="1"/>
  </cols>
  <sheetData>
    <row r="1" spans="1:8" ht="15">
      <c r="A1" s="3" t="s">
        <v>1</v>
      </c>
      <c r="B1" s="3" t="s">
        <v>7</v>
      </c>
      <c r="C1" s="1"/>
      <c r="D1" s="3" t="s">
        <v>0</v>
      </c>
      <c r="E1" s="3" t="s">
        <v>1</v>
      </c>
      <c r="F1" s="3" t="s">
        <v>2</v>
      </c>
      <c r="G1" s="3" t="s">
        <v>3</v>
      </c>
      <c r="H1" s="3" t="s">
        <v>10</v>
      </c>
    </row>
    <row r="2" spans="1:8" ht="15.75">
      <c r="A2" s="3" t="s">
        <v>4</v>
      </c>
      <c r="B2" s="3">
        <v>100000</v>
      </c>
      <c r="C2" s="1"/>
      <c r="D2" s="4" t="s">
        <v>12</v>
      </c>
      <c r="E2" s="3" t="str" cm="1">
        <f t="array" aca="1" ref="E2" ca="1">INDEX($A$2:$A$6, RANDBETWEEN(1, 5))</f>
        <v>Кассир</v>
      </c>
      <c r="F2" s="1">
        <f ca="1">[1]Январь1!F2 + RANDBETWEEN(-5000, 5000)</f>
        <v>70</v>
      </c>
      <c r="G2" s="1">
        <f ca="1">RANDBETWEEN(10000, 15000)</f>
        <v>12157</v>
      </c>
      <c r="H2" s="1">
        <f ca="1">F2+G2</f>
        <v>12227</v>
      </c>
    </row>
    <row r="3" spans="1:8" ht="15.75">
      <c r="A3" s="3" t="s">
        <v>8</v>
      </c>
      <c r="B3" s="3">
        <v>60000</v>
      </c>
      <c r="C3" s="1"/>
      <c r="D3" s="4" t="s">
        <v>11</v>
      </c>
      <c r="E3" s="3" t="str" cm="1">
        <f t="array" aca="1" ref="E3" ca="1">INDEX($A$2:$A$6, RANDBETWEEN(1, 5))</f>
        <v>Директор</v>
      </c>
      <c r="F3" s="1">
        <f ca="1">[1]Январь1!F3 + RANDBETWEEN(-5000, 5000)</f>
        <v>1781</v>
      </c>
      <c r="G3" s="1">
        <f t="shared" ref="G3:G31" ca="1" si="0">RANDBETWEEN(10000, 15000)</f>
        <v>11153</v>
      </c>
      <c r="H3" s="1">
        <f t="shared" ref="H3:H31" ca="1" si="1">F3+G3</f>
        <v>12934</v>
      </c>
    </row>
    <row r="4" spans="1:8" ht="15.75">
      <c r="A4" s="3" t="s">
        <v>5</v>
      </c>
      <c r="B4" s="3">
        <v>45000</v>
      </c>
      <c r="C4" s="1"/>
      <c r="D4" s="4" t="s">
        <v>13</v>
      </c>
      <c r="E4" s="3" t="str" cm="1">
        <f t="array" aca="1" ref="E4" ca="1">INDEX($A$2:$A$6, RANDBETWEEN(1, 5))</f>
        <v>Менджер</v>
      </c>
      <c r="F4" s="1">
        <f ca="1">[1]Январь1!F4 + RANDBETWEEN(-5000, 5000)</f>
        <v>-2088</v>
      </c>
      <c r="G4" s="1">
        <f t="shared" ca="1" si="0"/>
        <v>13248</v>
      </c>
      <c r="H4" s="1">
        <f t="shared" ca="1" si="1"/>
        <v>11160</v>
      </c>
    </row>
    <row r="5" spans="1:8" ht="15.75">
      <c r="A5" s="3" t="s">
        <v>9</v>
      </c>
      <c r="B5" s="3">
        <v>40000</v>
      </c>
      <c r="C5" s="1"/>
      <c r="D5" s="4" t="s">
        <v>14</v>
      </c>
      <c r="E5" s="3" t="str" cm="1">
        <f t="array" aca="1" ref="E5" ca="1">INDEX($A$2:$A$6, RANDBETWEEN(1, 5))</f>
        <v>Уборщик</v>
      </c>
      <c r="F5" s="1">
        <f ca="1">[1]Январь1!F5 + RANDBETWEEN(-5000, 5000)</f>
        <v>7826</v>
      </c>
      <c r="G5" s="1">
        <f t="shared" ca="1" si="0"/>
        <v>11668</v>
      </c>
      <c r="H5" s="1">
        <f t="shared" ca="1" si="1"/>
        <v>19494</v>
      </c>
    </row>
    <row r="6" spans="1:8" ht="15.75">
      <c r="A6" s="3" t="s">
        <v>6</v>
      </c>
      <c r="B6" s="3">
        <v>30000</v>
      </c>
      <c r="C6" s="1"/>
      <c r="D6" s="4" t="s">
        <v>15</v>
      </c>
      <c r="E6" s="3" t="str" cm="1">
        <f t="array" aca="1" ref="E6" ca="1">INDEX($A$2:$A$6, RANDBETWEEN(1, 5))</f>
        <v>Уборщик</v>
      </c>
      <c r="F6" s="1">
        <f ca="1">[1]Январь1!F6 + RANDBETWEEN(-5000, 5000)</f>
        <v>-2801</v>
      </c>
      <c r="G6" s="1">
        <f t="shared" ca="1" si="0"/>
        <v>12605</v>
      </c>
      <c r="H6" s="1">
        <f t="shared" ca="1" si="1"/>
        <v>9804</v>
      </c>
    </row>
    <row r="7" spans="1:8" ht="15.75">
      <c r="A7" s="1"/>
      <c r="B7" s="1"/>
      <c r="C7" s="1"/>
      <c r="D7" s="4" t="s">
        <v>16</v>
      </c>
      <c r="E7" s="3" t="str" cm="1">
        <f t="array" aca="1" ref="E7" ca="1">INDEX($A$2:$A$6, RANDBETWEEN(1, 5))</f>
        <v>Менджер</v>
      </c>
      <c r="F7" s="1">
        <f ca="1">[1]Январь1!F7 + RANDBETWEEN(-5000, 5000)</f>
        <v>55827</v>
      </c>
      <c r="G7" s="1">
        <f t="shared" ca="1" si="0"/>
        <v>12385</v>
      </c>
      <c r="H7" s="1">
        <f t="shared" ca="1" si="1"/>
        <v>68212</v>
      </c>
    </row>
    <row r="8" spans="1:8" ht="15.75">
      <c r="A8" s="1"/>
      <c r="B8" s="1"/>
      <c r="C8" s="1"/>
      <c r="D8" s="4" t="s">
        <v>17</v>
      </c>
      <c r="E8" s="3" t="str" cm="1">
        <f t="array" aca="1" ref="E8" ca="1">INDEX($A$2:$A$6, RANDBETWEEN(1, 5))</f>
        <v>Менджер</v>
      </c>
      <c r="F8" s="1">
        <f ca="1">[1]Январь1!F8 + RANDBETWEEN(-5000, 5000)</f>
        <v>47615</v>
      </c>
      <c r="G8" s="1">
        <f t="shared" ca="1" si="0"/>
        <v>10976</v>
      </c>
      <c r="H8" s="1">
        <f t="shared" ca="1" si="1"/>
        <v>58591</v>
      </c>
    </row>
    <row r="9" spans="1:8" ht="15.75">
      <c r="A9" s="1"/>
      <c r="B9" s="1"/>
      <c r="C9" s="1"/>
      <c r="D9" s="4" t="s">
        <v>18</v>
      </c>
      <c r="E9" s="3" t="str" cm="1">
        <f t="array" aca="1" ref="E9" ca="1">INDEX($A$2:$A$6, RANDBETWEEN(1, 5))</f>
        <v>Менджер</v>
      </c>
      <c r="F9" s="1">
        <f ca="1">[1]Январь1!F9 + RANDBETWEEN(-5000, 5000)</f>
        <v>46151</v>
      </c>
      <c r="G9" s="1">
        <f t="shared" ca="1" si="0"/>
        <v>11234</v>
      </c>
      <c r="H9" s="1">
        <f t="shared" ca="1" si="1"/>
        <v>57385</v>
      </c>
    </row>
    <row r="10" spans="1:8" ht="15.75">
      <c r="A10" s="1"/>
      <c r="B10" s="1"/>
      <c r="C10" s="1"/>
      <c r="D10" s="4" t="s">
        <v>19</v>
      </c>
      <c r="E10" s="3" t="str" cm="1">
        <f t="array" aca="1" ref="E10" ca="1">INDEX($A$2:$A$6, RANDBETWEEN(1, 5))</f>
        <v>Бариста</v>
      </c>
      <c r="F10" s="1">
        <f ca="1">[1]Январь1!F10 + RANDBETWEEN(-5000, 5000)</f>
        <v>44323</v>
      </c>
      <c r="G10" s="1">
        <f t="shared" ca="1" si="0"/>
        <v>13527</v>
      </c>
      <c r="H10" s="1">
        <f t="shared" ca="1" si="1"/>
        <v>57850</v>
      </c>
    </row>
    <row r="11" spans="1:8" ht="15.75">
      <c r="A11" s="1"/>
      <c r="B11" s="1"/>
      <c r="C11" s="1"/>
      <c r="D11" s="4" t="s">
        <v>20</v>
      </c>
      <c r="E11" s="3" t="str" cm="1">
        <f t="array" aca="1" ref="E11" ca="1">INDEX($A$2:$A$6, RANDBETWEEN(1, 5))</f>
        <v>Директор</v>
      </c>
      <c r="F11" s="1">
        <f ca="1">[1]Январь1!F11 + RANDBETWEEN(-5000, 5000)</f>
        <v>44128</v>
      </c>
      <c r="G11" s="1">
        <f t="shared" ca="1" si="0"/>
        <v>13962</v>
      </c>
      <c r="H11" s="1">
        <f t="shared" ca="1" si="1"/>
        <v>58090</v>
      </c>
    </row>
    <row r="12" spans="1:8" ht="15.75">
      <c r="A12" s="1"/>
      <c r="B12" s="1"/>
      <c r="C12" s="1"/>
      <c r="D12" s="4" t="s">
        <v>22</v>
      </c>
      <c r="E12" s="3" t="str" cm="1">
        <f t="array" aca="1" ref="E12" ca="1">INDEX($A$2:$A$6, RANDBETWEEN(1, 5))</f>
        <v>Директор</v>
      </c>
      <c r="F12" s="1">
        <f ca="1">[1]Январь1!F12 + RANDBETWEEN(-5000, 5000)</f>
        <v>30156</v>
      </c>
      <c r="G12" s="1">
        <f t="shared" ca="1" si="0"/>
        <v>12678</v>
      </c>
      <c r="H12" s="1">
        <f t="shared" ca="1" si="1"/>
        <v>42834</v>
      </c>
    </row>
    <row r="13" spans="1:8" ht="15.75">
      <c r="A13" s="1"/>
      <c r="B13" s="1"/>
      <c r="C13" s="1"/>
      <c r="D13" s="4" t="s">
        <v>21</v>
      </c>
      <c r="E13" s="3" t="str" cm="1">
        <f t="array" aca="1" ref="E13" ca="1">INDEX($A$2:$A$6, RANDBETWEEN(1, 5))</f>
        <v>Менджер</v>
      </c>
      <c r="F13" s="1">
        <f ca="1">[1]Январь1!F13 + RANDBETWEEN(-5000, 5000)</f>
        <v>25749</v>
      </c>
      <c r="G13" s="1">
        <f t="shared" ca="1" si="0"/>
        <v>14201</v>
      </c>
      <c r="H13" s="1">
        <f t="shared" ca="1" si="1"/>
        <v>39950</v>
      </c>
    </row>
    <row r="14" spans="1:8" ht="15.75">
      <c r="A14" s="1"/>
      <c r="B14" s="1"/>
      <c r="C14" s="1"/>
      <c r="D14" s="4" t="s">
        <v>23</v>
      </c>
      <c r="E14" s="3" t="str" cm="1">
        <f t="array" aca="1" ref="E14" ca="1">INDEX($A$2:$A$6, RANDBETWEEN(1, 5))</f>
        <v>Кассир</v>
      </c>
      <c r="F14" s="1">
        <f ca="1">[1]Январь1!F14 + RANDBETWEEN(-5000, 5000)</f>
        <v>102090</v>
      </c>
      <c r="G14" s="1">
        <f t="shared" ca="1" si="0"/>
        <v>12521</v>
      </c>
      <c r="H14" s="1">
        <f t="shared" ca="1" si="1"/>
        <v>114611</v>
      </c>
    </row>
    <row r="15" spans="1:8" ht="15.75">
      <c r="A15" s="1"/>
      <c r="B15" s="1"/>
      <c r="C15" s="1"/>
      <c r="D15" s="4" t="s">
        <v>24</v>
      </c>
      <c r="E15" s="3" t="str" cm="1">
        <f t="array" aca="1" ref="E15" ca="1">INDEX($A$2:$A$6, RANDBETWEEN(1, 5))</f>
        <v>Кассир</v>
      </c>
      <c r="F15" s="1">
        <f ca="1">[1]Январь1!F15 + RANDBETWEEN(-5000, 5000)</f>
        <v>45064</v>
      </c>
      <c r="G15" s="1">
        <f t="shared" ca="1" si="0"/>
        <v>12210</v>
      </c>
      <c r="H15" s="1">
        <f t="shared" ca="1" si="1"/>
        <v>57274</v>
      </c>
    </row>
    <row r="16" spans="1:8" ht="15.75">
      <c r="A16" s="1"/>
      <c r="B16" s="1"/>
      <c r="C16" s="1"/>
      <c r="D16" s="4" t="s">
        <v>25</v>
      </c>
      <c r="E16" s="3" t="str" cm="1">
        <f t="array" aca="1" ref="E16" ca="1">INDEX($A$2:$A$6, RANDBETWEEN(1, 5))</f>
        <v>Директор</v>
      </c>
      <c r="F16" s="1">
        <f ca="1">[1]Январь1!F16 + RANDBETWEEN(-5000, 5000)</f>
        <v>40914</v>
      </c>
      <c r="G16" s="1">
        <f t="shared" ca="1" si="0"/>
        <v>10514</v>
      </c>
      <c r="H16" s="1">
        <f t="shared" ca="1" si="1"/>
        <v>51428</v>
      </c>
    </row>
    <row r="17" spans="1:8" ht="15.75">
      <c r="A17" s="1"/>
      <c r="B17" s="1"/>
      <c r="C17" s="1"/>
      <c r="D17" s="4" t="s">
        <v>26</v>
      </c>
      <c r="E17" s="3" t="str" cm="1">
        <f t="array" aca="1" ref="E17" ca="1">INDEX($A$2:$A$6, RANDBETWEEN(1, 5))</f>
        <v>Директор</v>
      </c>
      <c r="F17" s="1">
        <f ca="1">[1]Январь1!F17 + RANDBETWEEN(-5000, 5000)</f>
        <v>58348</v>
      </c>
      <c r="G17" s="1">
        <f t="shared" ca="1" si="0"/>
        <v>11561</v>
      </c>
      <c r="H17" s="1">
        <f t="shared" ca="1" si="1"/>
        <v>69909</v>
      </c>
    </row>
    <row r="18" spans="1:8" ht="15.75">
      <c r="A18" s="1"/>
      <c r="B18" s="1"/>
      <c r="C18" s="1"/>
      <c r="D18" s="4" t="s">
        <v>27</v>
      </c>
      <c r="E18" s="3" t="str" cm="1">
        <f t="array" aca="1" ref="E18" ca="1">INDEX($A$2:$A$6, RANDBETWEEN(1, 5))</f>
        <v>Уборщик</v>
      </c>
      <c r="F18" s="1">
        <f ca="1">[1]Январь1!F18 + RANDBETWEEN(-5000, 5000)</f>
        <v>96448</v>
      </c>
      <c r="G18" s="1">
        <f t="shared" ca="1" si="0"/>
        <v>10065</v>
      </c>
      <c r="H18" s="1">
        <f t="shared" ca="1" si="1"/>
        <v>106513</v>
      </c>
    </row>
    <row r="19" spans="1:8" ht="15.75">
      <c r="A19" s="1"/>
      <c r="B19" s="1"/>
      <c r="C19" s="1"/>
      <c r="D19" s="4" t="s">
        <v>28</v>
      </c>
      <c r="E19" s="3" t="str" cm="1">
        <f t="array" aca="1" ref="E19" ca="1">INDEX($A$2:$A$6, RANDBETWEEN(1, 5))</f>
        <v>Директор</v>
      </c>
      <c r="F19" s="1">
        <f ca="1">[1]Январь1!F19 + RANDBETWEEN(-5000, 5000)</f>
        <v>95685</v>
      </c>
      <c r="G19" s="1">
        <f t="shared" ca="1" si="0"/>
        <v>12057</v>
      </c>
      <c r="H19" s="1">
        <f t="shared" ca="1" si="1"/>
        <v>107742</v>
      </c>
    </row>
    <row r="20" spans="1:8" ht="15.75">
      <c r="A20" s="1"/>
      <c r="B20" s="1"/>
      <c r="C20" s="1"/>
      <c r="D20" s="4" t="s">
        <v>29</v>
      </c>
      <c r="E20" s="3" t="str" cm="1">
        <f t="array" aca="1" ref="E20" ca="1">INDEX($A$2:$A$6, RANDBETWEEN(1, 5))</f>
        <v>Кассир</v>
      </c>
      <c r="F20" s="1">
        <f ca="1">[1]Январь1!F20 + RANDBETWEEN(-5000, 5000)</f>
        <v>29170</v>
      </c>
      <c r="G20" s="1">
        <f t="shared" ca="1" si="0"/>
        <v>10340</v>
      </c>
      <c r="H20" s="1">
        <f t="shared" ca="1" si="1"/>
        <v>39510</v>
      </c>
    </row>
    <row r="21" spans="1:8" ht="15.75">
      <c r="A21" s="1"/>
      <c r="B21" s="1"/>
      <c r="C21" s="1"/>
      <c r="D21" s="4" t="s">
        <v>30</v>
      </c>
      <c r="E21" s="3" t="str" cm="1">
        <f t="array" aca="1" ref="E21" ca="1">INDEX($A$2:$A$6, RANDBETWEEN(1, 5))</f>
        <v>Уборщик</v>
      </c>
      <c r="F21" s="1">
        <f ca="1">[1]Январь1!F21 + RANDBETWEEN(-5000, 5000)</f>
        <v>44520</v>
      </c>
      <c r="G21" s="1">
        <f t="shared" ca="1" si="0"/>
        <v>11908</v>
      </c>
      <c r="H21" s="1">
        <f t="shared" ca="1" si="1"/>
        <v>56428</v>
      </c>
    </row>
    <row r="22" spans="1:8" ht="15.75">
      <c r="A22" s="1"/>
      <c r="B22" s="1"/>
      <c r="C22" s="1"/>
      <c r="D22" s="4" t="s">
        <v>31</v>
      </c>
      <c r="E22" s="3" t="str" cm="1">
        <f t="array" aca="1" ref="E22" ca="1">INDEX($A$2:$A$6, RANDBETWEEN(1, 5))</f>
        <v>Директор</v>
      </c>
      <c r="F22" s="1">
        <f ca="1">[1]Январь1!F22 + RANDBETWEEN(-5000, 5000)</f>
        <v>42222</v>
      </c>
      <c r="G22" s="1">
        <f t="shared" ca="1" si="0"/>
        <v>14528</v>
      </c>
      <c r="H22" s="1">
        <f t="shared" ca="1" si="1"/>
        <v>56750</v>
      </c>
    </row>
    <row r="23" spans="1:8" ht="15.75">
      <c r="A23" s="1"/>
      <c r="B23" s="1"/>
      <c r="C23" s="1"/>
      <c r="D23" s="4" t="s">
        <v>32</v>
      </c>
      <c r="E23" s="3" t="str" cm="1">
        <f t="array" aca="1" ref="E23" ca="1">INDEX($A$2:$A$6, RANDBETWEEN(1, 5))</f>
        <v>Бариста</v>
      </c>
      <c r="F23" s="1">
        <f ca="1">[1]Январь1!F23 + RANDBETWEEN(-5000, 5000)</f>
        <v>54924</v>
      </c>
      <c r="G23" s="1">
        <f t="shared" ca="1" si="0"/>
        <v>10642</v>
      </c>
      <c r="H23" s="1">
        <f t="shared" ca="1" si="1"/>
        <v>65566</v>
      </c>
    </row>
    <row r="24" spans="1:8" ht="15.75">
      <c r="A24" s="1"/>
      <c r="B24" s="1"/>
      <c r="C24" s="1"/>
      <c r="D24" s="4" t="s">
        <v>33</v>
      </c>
      <c r="E24" s="3" t="str" cm="1">
        <f t="array" aca="1" ref="E24" ca="1">INDEX($A$2:$A$6, RANDBETWEEN(1, 5))</f>
        <v>Бариста</v>
      </c>
      <c r="F24" s="1">
        <f ca="1">[1]Январь1!F24 + RANDBETWEEN(-5000, 5000)</f>
        <v>50624</v>
      </c>
      <c r="G24" s="1">
        <f t="shared" ca="1" si="0"/>
        <v>11159</v>
      </c>
      <c r="H24" s="1">
        <f t="shared" ca="1" si="1"/>
        <v>61783</v>
      </c>
    </row>
    <row r="25" spans="1:8" ht="15.75">
      <c r="A25" s="1"/>
      <c r="B25" s="1"/>
      <c r="C25" s="1"/>
      <c r="D25" s="4" t="s">
        <v>34</v>
      </c>
      <c r="E25" s="3" t="str" cm="1">
        <f t="array" aca="1" ref="E25" ca="1">INDEX($A$2:$A$6, RANDBETWEEN(1, 5))</f>
        <v>Директор</v>
      </c>
      <c r="F25" s="1">
        <f ca="1">[1]Январь1!F25 + RANDBETWEEN(-5000, 5000)</f>
        <v>62924</v>
      </c>
      <c r="G25" s="1">
        <f t="shared" ca="1" si="0"/>
        <v>12371</v>
      </c>
      <c r="H25" s="1">
        <f t="shared" ca="1" si="1"/>
        <v>75295</v>
      </c>
    </row>
    <row r="26" spans="1:8" ht="15.75">
      <c r="A26" s="1"/>
      <c r="B26" s="1"/>
      <c r="C26" s="1"/>
      <c r="D26" s="4" t="s">
        <v>35</v>
      </c>
      <c r="E26" s="3" t="str" cm="1">
        <f t="array" aca="1" ref="E26" ca="1">INDEX($A$2:$A$6, RANDBETWEEN(1, 5))</f>
        <v>Кассир</v>
      </c>
      <c r="F26" s="1">
        <f ca="1">[1]Январь1!F26 + RANDBETWEEN(-5000, 5000)</f>
        <v>28073</v>
      </c>
      <c r="G26" s="1">
        <f t="shared" ca="1" si="0"/>
        <v>13508</v>
      </c>
      <c r="H26" s="1">
        <f t="shared" ca="1" si="1"/>
        <v>41581</v>
      </c>
    </row>
    <row r="27" spans="1:8" ht="15.75">
      <c r="A27" s="1"/>
      <c r="B27" s="1"/>
      <c r="C27" s="1"/>
      <c r="D27" s="4" t="s">
        <v>36</v>
      </c>
      <c r="E27" s="3" t="str" cm="1">
        <f t="array" aca="1" ref="E27" ca="1">INDEX($A$2:$A$6, RANDBETWEEN(1, 5))</f>
        <v>Менджер</v>
      </c>
      <c r="F27" s="1">
        <f ca="1">[1]Январь1!F27 + RANDBETWEEN(-5000, 5000)</f>
        <v>58210</v>
      </c>
      <c r="G27" s="1">
        <f t="shared" ca="1" si="0"/>
        <v>10446</v>
      </c>
      <c r="H27" s="1">
        <f t="shared" ca="1" si="1"/>
        <v>68656</v>
      </c>
    </row>
    <row r="28" spans="1:8" ht="15.75">
      <c r="A28" s="1"/>
      <c r="B28" s="1"/>
      <c r="C28" s="1"/>
      <c r="D28" s="4" t="s">
        <v>37</v>
      </c>
      <c r="E28" s="3" t="str" cm="1">
        <f t="array" aca="1" ref="E28" ca="1">INDEX($A$2:$A$6, RANDBETWEEN(1, 5))</f>
        <v>Бариста</v>
      </c>
      <c r="F28" s="1">
        <f ca="1">[1]Январь1!F28 + RANDBETWEEN(-5000, 5000)</f>
        <v>43282</v>
      </c>
      <c r="G28" s="1">
        <f t="shared" ca="1" si="0"/>
        <v>13862</v>
      </c>
      <c r="H28" s="1">
        <f t="shared" ca="1" si="1"/>
        <v>57144</v>
      </c>
    </row>
    <row r="29" spans="1:8" ht="15.75">
      <c r="A29" s="1"/>
      <c r="B29" s="1"/>
      <c r="C29" s="1"/>
      <c r="D29" s="4" t="s">
        <v>38</v>
      </c>
      <c r="E29" s="3" t="str" cm="1">
        <f t="array" aca="1" ref="E29" ca="1">INDEX($A$2:$A$6, RANDBETWEEN(1, 5))</f>
        <v>Директор</v>
      </c>
      <c r="F29" s="1">
        <f ca="1">[1]Январь1!F29 + RANDBETWEEN(-5000, 5000)</f>
        <v>30726</v>
      </c>
      <c r="G29" s="1">
        <f t="shared" ca="1" si="0"/>
        <v>11814</v>
      </c>
      <c r="H29" s="1">
        <f t="shared" ca="1" si="1"/>
        <v>42540</v>
      </c>
    </row>
    <row r="30" spans="1:8" ht="15.75">
      <c r="A30" s="1"/>
      <c r="B30" s="1"/>
      <c r="C30" s="1"/>
      <c r="D30" s="4" t="s">
        <v>39</v>
      </c>
      <c r="E30" s="3" t="str" cm="1">
        <f t="array" aca="1" ref="E30" ca="1">INDEX($A$2:$A$6, RANDBETWEEN(1, 5))</f>
        <v>Уборщик</v>
      </c>
      <c r="F30" s="1">
        <f ca="1">[1]Январь1!F30 + RANDBETWEEN(-5000, 5000)</f>
        <v>58125</v>
      </c>
      <c r="G30" s="1">
        <f t="shared" ca="1" si="0"/>
        <v>12565</v>
      </c>
      <c r="H30" s="1">
        <f t="shared" ca="1" si="1"/>
        <v>70690</v>
      </c>
    </row>
    <row r="31" spans="1:8" ht="15.75">
      <c r="A31" s="1"/>
      <c r="B31" s="1"/>
      <c r="C31" s="1"/>
      <c r="D31" s="4" t="s">
        <v>40</v>
      </c>
      <c r="E31" s="3" t="str" cm="1">
        <f t="array" aca="1" ref="E31" ca="1">INDEX($A$2:$A$6, RANDBETWEEN(1, 5))</f>
        <v>Бариста</v>
      </c>
      <c r="F31" s="1">
        <f ca="1">[1]Январь1!F31 + RANDBETWEEN(-5000, 5000)</f>
        <v>51634</v>
      </c>
      <c r="G31" s="1">
        <f t="shared" ca="1" si="0"/>
        <v>12883</v>
      </c>
      <c r="H31" s="1">
        <f t="shared" ca="1" si="1"/>
        <v>64517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836E-C714-4176-BE0D-0FF9C08C6CA5}">
  <dimension ref="A1:H31"/>
  <sheetViews>
    <sheetView topLeftCell="A2" workbookViewId="0">
      <selection activeCell="F6" sqref="F6"/>
    </sheetView>
  </sheetViews>
  <sheetFormatPr defaultRowHeight="14.25"/>
  <cols>
    <col min="2" max="2" width="9" customWidth="1"/>
    <col min="3" max="3" width="0.125" customWidth="1"/>
    <col min="4" max="4" width="32.25" customWidth="1"/>
    <col min="8" max="8" width="15.625" customWidth="1"/>
  </cols>
  <sheetData>
    <row r="1" spans="1:8" ht="15">
      <c r="A1" s="3" t="s">
        <v>1</v>
      </c>
      <c r="B1" s="3" t="s">
        <v>7</v>
      </c>
      <c r="C1" s="1"/>
      <c r="D1" s="3" t="s">
        <v>0</v>
      </c>
      <c r="E1" s="3" t="s">
        <v>1</v>
      </c>
      <c r="F1" s="3" t="s">
        <v>2</v>
      </c>
      <c r="G1" s="3" t="s">
        <v>3</v>
      </c>
      <c r="H1" s="3" t="s">
        <v>10</v>
      </c>
    </row>
    <row r="2" spans="1:8" ht="15.75">
      <c r="A2" s="3" t="s">
        <v>4</v>
      </c>
      <c r="B2" s="3">
        <v>100000</v>
      </c>
      <c r="C2" s="1"/>
      <c r="D2" s="4" t="s">
        <v>12</v>
      </c>
      <c r="E2" s="3" t="str" cm="1">
        <f t="array" aca="1" ref="E2" ca="1">INDEX($A$2:$A$6, RANDBETWEEN(1, 5))</f>
        <v>Уборщик</v>
      </c>
      <c r="F2" s="1">
        <f ca="1">[1]Январь1!F2 + RANDBETWEEN(-5000, 5000)</f>
        <v>8364</v>
      </c>
      <c r="G2" s="1">
        <f ca="1">RANDBETWEEN(6000, 10000)</f>
        <v>6337</v>
      </c>
      <c r="H2" s="1">
        <f ca="1">F2+G2</f>
        <v>14701</v>
      </c>
    </row>
    <row r="3" spans="1:8" ht="15.75">
      <c r="A3" s="3" t="s">
        <v>8</v>
      </c>
      <c r="B3" s="3">
        <v>60000</v>
      </c>
      <c r="C3" s="1"/>
      <c r="D3" s="4" t="s">
        <v>11</v>
      </c>
      <c r="E3" s="3" t="str" cm="1">
        <f t="array" aca="1" ref="E3" ca="1">INDEX($A$2:$A$6, RANDBETWEEN(1, 5))</f>
        <v>Бариста</v>
      </c>
      <c r="F3" s="1">
        <f ca="1">[1]Январь1!F3 + RANDBETWEEN(-5000, 5000)</f>
        <v>-92</v>
      </c>
      <c r="G3" s="1">
        <f t="shared" ref="G3:G31" ca="1" si="0">RANDBETWEEN(6000, 10000)</f>
        <v>9816</v>
      </c>
      <c r="H3" s="1">
        <f t="shared" ref="H3:H31" ca="1" si="1">F3+G3</f>
        <v>9724</v>
      </c>
    </row>
    <row r="4" spans="1:8" ht="15.75">
      <c r="A4" s="3" t="s">
        <v>5</v>
      </c>
      <c r="B4" s="3">
        <v>45000</v>
      </c>
      <c r="C4" s="1"/>
      <c r="D4" s="4" t="s">
        <v>13</v>
      </c>
      <c r="E4" s="3" t="str" cm="1">
        <f t="array" aca="1" ref="E4" ca="1">INDEX($A$2:$A$6, RANDBETWEEN(1, 5))</f>
        <v>Менджер</v>
      </c>
      <c r="F4" s="1">
        <f ca="1">[1]Январь1!F4 + RANDBETWEEN(-5000, 5000)</f>
        <v>-4586</v>
      </c>
      <c r="G4" s="1">
        <f t="shared" ca="1" si="0"/>
        <v>6348</v>
      </c>
      <c r="H4" s="1">
        <f t="shared" ca="1" si="1"/>
        <v>1762</v>
      </c>
    </row>
    <row r="5" spans="1:8" ht="15.75">
      <c r="A5" s="3" t="s">
        <v>9</v>
      </c>
      <c r="B5" s="3">
        <v>40000</v>
      </c>
      <c r="C5" s="1"/>
      <c r="D5" s="4" t="s">
        <v>14</v>
      </c>
      <c r="E5" s="3" t="str" cm="1">
        <f t="array" aca="1" ref="E5" ca="1">INDEX($A$2:$A$6, RANDBETWEEN(1, 5))</f>
        <v>Уборщик</v>
      </c>
      <c r="F5" s="1">
        <f ca="1">[1]Январь1!F5 + RANDBETWEEN(-5000, 5000)</f>
        <v>11956</v>
      </c>
      <c r="G5" s="1">
        <f t="shared" ca="1" si="0"/>
        <v>6355</v>
      </c>
      <c r="H5" s="1">
        <f t="shared" ca="1" si="1"/>
        <v>18311</v>
      </c>
    </row>
    <row r="6" spans="1:8" ht="15.75">
      <c r="A6" s="3" t="s">
        <v>6</v>
      </c>
      <c r="B6" s="3">
        <v>30000</v>
      </c>
      <c r="C6" s="1"/>
      <c r="D6" s="4" t="s">
        <v>15</v>
      </c>
      <c r="E6" s="3" t="str" cm="1">
        <f t="array" aca="1" ref="E6" ca="1">INDEX($A$2:$A$6, RANDBETWEEN(1, 5))</f>
        <v>Бариста</v>
      </c>
      <c r="F6" s="1">
        <f ca="1">[1]Январь1!F6 + RANDBETWEEN(-5000, 5000)</f>
        <v>-825</v>
      </c>
      <c r="G6" s="1">
        <f t="shared" ca="1" si="0"/>
        <v>9929</v>
      </c>
      <c r="H6" s="1">
        <f t="shared" ca="1" si="1"/>
        <v>9104</v>
      </c>
    </row>
    <row r="7" spans="1:8" ht="15.75">
      <c r="A7" s="1"/>
      <c r="B7" s="1"/>
      <c r="C7" s="1"/>
      <c r="D7" s="4" t="s">
        <v>16</v>
      </c>
      <c r="E7" s="3" t="str" cm="1">
        <f t="array" aca="1" ref="E7" ca="1">INDEX($A$2:$A$6, RANDBETWEEN(1, 5))</f>
        <v>Бариста</v>
      </c>
      <c r="F7" s="1">
        <f ca="1">[1]Январь1!F7 + RANDBETWEEN(-5000, 5000)</f>
        <v>57438</v>
      </c>
      <c r="G7" s="1">
        <f t="shared" ca="1" si="0"/>
        <v>7748</v>
      </c>
      <c r="H7" s="1">
        <f t="shared" ca="1" si="1"/>
        <v>65186</v>
      </c>
    </row>
    <row r="8" spans="1:8" ht="15.75">
      <c r="A8" s="1"/>
      <c r="B8" s="1"/>
      <c r="C8" s="1"/>
      <c r="D8" s="4" t="s">
        <v>17</v>
      </c>
      <c r="E8" s="3" t="str" cm="1">
        <f t="array" aca="1" ref="E8" ca="1">INDEX($A$2:$A$6, RANDBETWEEN(1, 5))</f>
        <v>Менджер</v>
      </c>
      <c r="F8" s="1">
        <f ca="1">[1]Январь1!F8 + RANDBETWEEN(-5000, 5000)</f>
        <v>50862</v>
      </c>
      <c r="G8" s="1">
        <f t="shared" ca="1" si="0"/>
        <v>8969</v>
      </c>
      <c r="H8" s="1">
        <f t="shared" ca="1" si="1"/>
        <v>59831</v>
      </c>
    </row>
    <row r="9" spans="1:8" ht="15.75">
      <c r="A9" s="1"/>
      <c r="B9" s="1"/>
      <c r="C9" s="1"/>
      <c r="D9" s="4" t="s">
        <v>18</v>
      </c>
      <c r="E9" s="3" t="str" cm="1">
        <f t="array" aca="1" ref="E9" ca="1">INDEX($A$2:$A$6, RANDBETWEEN(1, 5))</f>
        <v>Бариста</v>
      </c>
      <c r="F9" s="1">
        <f ca="1">[1]Январь1!F9 + RANDBETWEEN(-5000, 5000)</f>
        <v>52304</v>
      </c>
      <c r="G9" s="1">
        <f t="shared" ca="1" si="0"/>
        <v>9564</v>
      </c>
      <c r="H9" s="1">
        <f t="shared" ca="1" si="1"/>
        <v>61868</v>
      </c>
    </row>
    <row r="10" spans="1:8" ht="15.75">
      <c r="A10" s="1"/>
      <c r="B10" s="1"/>
      <c r="C10" s="1"/>
      <c r="D10" s="4" t="s">
        <v>19</v>
      </c>
      <c r="E10" s="3" t="str" cm="1">
        <f t="array" aca="1" ref="E10" ca="1">INDEX($A$2:$A$6, RANDBETWEEN(1, 5))</f>
        <v>Бариста</v>
      </c>
      <c r="F10" s="1">
        <f ca="1">[1]Январь1!F10 + RANDBETWEEN(-5000, 5000)</f>
        <v>42211</v>
      </c>
      <c r="G10" s="1">
        <f t="shared" ca="1" si="0"/>
        <v>9121</v>
      </c>
      <c r="H10" s="1">
        <f t="shared" ca="1" si="1"/>
        <v>51332</v>
      </c>
    </row>
    <row r="11" spans="1:8" ht="15.75">
      <c r="A11" s="1"/>
      <c r="B11" s="1"/>
      <c r="C11" s="1"/>
      <c r="D11" s="4" t="s">
        <v>20</v>
      </c>
      <c r="E11" s="3" t="str" cm="1">
        <f t="array" aca="1" ref="E11" ca="1">INDEX($A$2:$A$6, RANDBETWEEN(1, 5))</f>
        <v>Директор</v>
      </c>
      <c r="F11" s="1">
        <f ca="1">[1]Январь1!F11 + RANDBETWEEN(-5000, 5000)</f>
        <v>47293</v>
      </c>
      <c r="G11" s="1">
        <f t="shared" ca="1" si="0"/>
        <v>6635</v>
      </c>
      <c r="H11" s="1">
        <f t="shared" ca="1" si="1"/>
        <v>53928</v>
      </c>
    </row>
    <row r="12" spans="1:8" ht="15.75">
      <c r="A12" s="1"/>
      <c r="B12" s="1"/>
      <c r="C12" s="1"/>
      <c r="D12" s="4" t="s">
        <v>22</v>
      </c>
      <c r="E12" s="3" t="str" cm="1">
        <f t="array" aca="1" ref="E12" ca="1">INDEX($A$2:$A$6, RANDBETWEEN(1, 5))</f>
        <v>Кассир</v>
      </c>
      <c r="F12" s="1">
        <f ca="1">[1]Январь1!F12 + RANDBETWEEN(-5000, 5000)</f>
        <v>25572</v>
      </c>
      <c r="G12" s="1">
        <f t="shared" ca="1" si="0"/>
        <v>9453</v>
      </c>
      <c r="H12" s="1">
        <f t="shared" ca="1" si="1"/>
        <v>35025</v>
      </c>
    </row>
    <row r="13" spans="1:8" ht="15.75">
      <c r="A13" s="1"/>
      <c r="B13" s="1"/>
      <c r="C13" s="1"/>
      <c r="D13" s="4" t="s">
        <v>21</v>
      </c>
      <c r="E13" s="3" t="str" cm="1">
        <f t="array" aca="1" ref="E13" ca="1">INDEX($A$2:$A$6, RANDBETWEEN(1, 5))</f>
        <v>Бариста</v>
      </c>
      <c r="F13" s="1">
        <f ca="1">[1]Январь1!F13 + RANDBETWEEN(-5000, 5000)</f>
        <v>26208</v>
      </c>
      <c r="G13" s="1">
        <f t="shared" ca="1" si="0"/>
        <v>9168</v>
      </c>
      <c r="H13" s="1">
        <f t="shared" ca="1" si="1"/>
        <v>35376</v>
      </c>
    </row>
    <row r="14" spans="1:8" ht="15.75">
      <c r="A14" s="1"/>
      <c r="B14" s="1"/>
      <c r="C14" s="1"/>
      <c r="D14" s="4" t="s">
        <v>23</v>
      </c>
      <c r="E14" s="3" t="str" cm="1">
        <f t="array" aca="1" ref="E14" ca="1">INDEX($A$2:$A$6, RANDBETWEEN(1, 5))</f>
        <v>Директор</v>
      </c>
      <c r="F14" s="1">
        <f ca="1">[1]Январь1!F14 + RANDBETWEEN(-5000, 5000)</f>
        <v>97742</v>
      </c>
      <c r="G14" s="1">
        <f t="shared" ca="1" si="0"/>
        <v>9903</v>
      </c>
      <c r="H14" s="1">
        <f t="shared" ca="1" si="1"/>
        <v>107645</v>
      </c>
    </row>
    <row r="15" spans="1:8" ht="15.75">
      <c r="A15" s="1"/>
      <c r="B15" s="1"/>
      <c r="C15" s="1"/>
      <c r="D15" s="4" t="s">
        <v>24</v>
      </c>
      <c r="E15" s="3" t="str" cm="1">
        <f t="array" aca="1" ref="E15" ca="1">INDEX($A$2:$A$6, RANDBETWEEN(1, 5))</f>
        <v>Директор</v>
      </c>
      <c r="F15" s="1">
        <f ca="1">[1]Январь1!F15 + RANDBETWEEN(-5000, 5000)</f>
        <v>38722</v>
      </c>
      <c r="G15" s="1">
        <f t="shared" ca="1" si="0"/>
        <v>7265</v>
      </c>
      <c r="H15" s="1">
        <f t="shared" ca="1" si="1"/>
        <v>45987</v>
      </c>
    </row>
    <row r="16" spans="1:8" ht="15.75">
      <c r="A16" s="1"/>
      <c r="B16" s="1"/>
      <c r="C16" s="1"/>
      <c r="D16" s="4" t="s">
        <v>25</v>
      </c>
      <c r="E16" s="3" t="str" cm="1">
        <f t="array" aca="1" ref="E16" ca="1">INDEX($A$2:$A$6, RANDBETWEEN(1, 5))</f>
        <v>Кассир</v>
      </c>
      <c r="F16" s="1">
        <f ca="1">[1]Январь1!F16 + RANDBETWEEN(-5000, 5000)</f>
        <v>47110</v>
      </c>
      <c r="G16" s="1">
        <f t="shared" ca="1" si="0"/>
        <v>7726</v>
      </c>
      <c r="H16" s="1">
        <f t="shared" ca="1" si="1"/>
        <v>54836</v>
      </c>
    </row>
    <row r="17" spans="1:8" ht="15.75">
      <c r="A17" s="1"/>
      <c r="B17" s="1"/>
      <c r="C17" s="1"/>
      <c r="D17" s="4" t="s">
        <v>26</v>
      </c>
      <c r="E17" s="3" t="str" cm="1">
        <f t="array" aca="1" ref="E17" ca="1">INDEX($A$2:$A$6, RANDBETWEEN(1, 5))</f>
        <v>Уборщик</v>
      </c>
      <c r="F17" s="1">
        <f ca="1">[1]Январь1!F17 + RANDBETWEEN(-5000, 5000)</f>
        <v>54103</v>
      </c>
      <c r="G17" s="1">
        <f t="shared" ca="1" si="0"/>
        <v>9128</v>
      </c>
      <c r="H17" s="1">
        <f t="shared" ca="1" si="1"/>
        <v>63231</v>
      </c>
    </row>
    <row r="18" spans="1:8" ht="15.75">
      <c r="A18" s="1"/>
      <c r="B18" s="1"/>
      <c r="C18" s="1"/>
      <c r="D18" s="4" t="s">
        <v>27</v>
      </c>
      <c r="E18" s="3" t="str" cm="1">
        <f t="array" aca="1" ref="E18" ca="1">INDEX($A$2:$A$6, RANDBETWEEN(1, 5))</f>
        <v>Уборщик</v>
      </c>
      <c r="F18" s="1">
        <f ca="1">[1]Январь1!F18 + RANDBETWEEN(-5000, 5000)</f>
        <v>100815</v>
      </c>
      <c r="G18" s="1">
        <f t="shared" ca="1" si="0"/>
        <v>8727</v>
      </c>
      <c r="H18" s="1">
        <f t="shared" ca="1" si="1"/>
        <v>109542</v>
      </c>
    </row>
    <row r="19" spans="1:8" ht="15.75">
      <c r="A19" s="1"/>
      <c r="B19" s="1"/>
      <c r="C19" s="1"/>
      <c r="D19" s="4" t="s">
        <v>28</v>
      </c>
      <c r="E19" s="3" t="str" cm="1">
        <f t="array" aca="1" ref="E19" ca="1">INDEX($A$2:$A$6, RANDBETWEEN(1, 5))</f>
        <v>Бариста</v>
      </c>
      <c r="F19" s="1">
        <f ca="1">[1]Январь1!F19 + RANDBETWEEN(-5000, 5000)</f>
        <v>92874</v>
      </c>
      <c r="G19" s="1">
        <f t="shared" ca="1" si="0"/>
        <v>6316</v>
      </c>
      <c r="H19" s="1">
        <f t="shared" ca="1" si="1"/>
        <v>99190</v>
      </c>
    </row>
    <row r="20" spans="1:8" ht="15.75">
      <c r="A20" s="1"/>
      <c r="B20" s="1"/>
      <c r="C20" s="1"/>
      <c r="D20" s="4" t="s">
        <v>29</v>
      </c>
      <c r="E20" s="3" t="str" cm="1">
        <f t="array" aca="1" ref="E20" ca="1">INDEX($A$2:$A$6, RANDBETWEEN(1, 5))</f>
        <v>Кассир</v>
      </c>
      <c r="F20" s="1">
        <f ca="1">[1]Январь1!F20 + RANDBETWEEN(-5000, 5000)</f>
        <v>32616</v>
      </c>
      <c r="G20" s="1">
        <f t="shared" ca="1" si="0"/>
        <v>6904</v>
      </c>
      <c r="H20" s="1">
        <f t="shared" ca="1" si="1"/>
        <v>39520</v>
      </c>
    </row>
    <row r="21" spans="1:8" ht="15.75">
      <c r="A21" s="1"/>
      <c r="B21" s="1"/>
      <c r="C21" s="1"/>
      <c r="D21" s="4" t="s">
        <v>30</v>
      </c>
      <c r="E21" s="3" t="str" cm="1">
        <f t="array" aca="1" ref="E21" ca="1">INDEX($A$2:$A$6, RANDBETWEEN(1, 5))</f>
        <v>Директор</v>
      </c>
      <c r="F21" s="1">
        <f ca="1">[1]Январь1!F21 + RANDBETWEEN(-5000, 5000)</f>
        <v>42589</v>
      </c>
      <c r="G21" s="1">
        <f t="shared" ca="1" si="0"/>
        <v>9437</v>
      </c>
      <c r="H21" s="1">
        <f t="shared" ca="1" si="1"/>
        <v>52026</v>
      </c>
    </row>
    <row r="22" spans="1:8" ht="15.75">
      <c r="A22" s="1"/>
      <c r="B22" s="1"/>
      <c r="C22" s="1"/>
      <c r="D22" s="4" t="s">
        <v>31</v>
      </c>
      <c r="E22" s="3" t="str" cm="1">
        <f t="array" aca="1" ref="E22" ca="1">INDEX($A$2:$A$6, RANDBETWEEN(1, 5))</f>
        <v>Менджер</v>
      </c>
      <c r="F22" s="1">
        <f ca="1">[1]Январь1!F22 + RANDBETWEEN(-5000, 5000)</f>
        <v>38753</v>
      </c>
      <c r="G22" s="1">
        <f t="shared" ca="1" si="0"/>
        <v>9380</v>
      </c>
      <c r="H22" s="1">
        <f t="shared" ca="1" si="1"/>
        <v>48133</v>
      </c>
    </row>
    <row r="23" spans="1:8" ht="15.75">
      <c r="A23" s="1"/>
      <c r="B23" s="1"/>
      <c r="C23" s="1"/>
      <c r="D23" s="4" t="s">
        <v>32</v>
      </c>
      <c r="E23" s="3" t="str" cm="1">
        <f t="array" aca="1" ref="E23" ca="1">INDEX($A$2:$A$6, RANDBETWEEN(1, 5))</f>
        <v>Уборщик</v>
      </c>
      <c r="F23" s="1">
        <f ca="1">[1]Январь1!F23 + RANDBETWEEN(-5000, 5000)</f>
        <v>50021</v>
      </c>
      <c r="G23" s="1">
        <f t="shared" ca="1" si="0"/>
        <v>7331</v>
      </c>
      <c r="H23" s="1">
        <f t="shared" ca="1" si="1"/>
        <v>57352</v>
      </c>
    </row>
    <row r="24" spans="1:8" ht="15.75">
      <c r="A24" s="1"/>
      <c r="B24" s="1"/>
      <c r="C24" s="1"/>
      <c r="D24" s="4" t="s">
        <v>33</v>
      </c>
      <c r="E24" s="3" t="str" cm="1">
        <f t="array" aca="1" ref="E24" ca="1">INDEX($A$2:$A$6, RANDBETWEEN(1, 5))</f>
        <v>Директор</v>
      </c>
      <c r="F24" s="1">
        <f ca="1">[1]Январь1!F24 + RANDBETWEEN(-5000, 5000)</f>
        <v>46257</v>
      </c>
      <c r="G24" s="1">
        <f t="shared" ca="1" si="0"/>
        <v>7953</v>
      </c>
      <c r="H24" s="1">
        <f t="shared" ca="1" si="1"/>
        <v>54210</v>
      </c>
    </row>
    <row r="25" spans="1:8" ht="15.75">
      <c r="A25" s="1"/>
      <c r="B25" s="1"/>
      <c r="C25" s="1"/>
      <c r="D25" s="4" t="s">
        <v>34</v>
      </c>
      <c r="E25" s="3" t="str" cm="1">
        <f t="array" aca="1" ref="E25" ca="1">INDEX($A$2:$A$6, RANDBETWEEN(1, 5))</f>
        <v>Менджер</v>
      </c>
      <c r="F25" s="1">
        <f ca="1">[1]Январь1!F25 + RANDBETWEEN(-5000, 5000)</f>
        <v>68917</v>
      </c>
      <c r="G25" s="1">
        <f t="shared" ca="1" si="0"/>
        <v>9649</v>
      </c>
      <c r="H25" s="1">
        <f t="shared" ca="1" si="1"/>
        <v>78566</v>
      </c>
    </row>
    <row r="26" spans="1:8" ht="15.75">
      <c r="A26" s="1"/>
      <c r="B26" s="1"/>
      <c r="C26" s="1"/>
      <c r="D26" s="4" t="s">
        <v>35</v>
      </c>
      <c r="E26" s="3" t="str" cm="1">
        <f t="array" aca="1" ref="E26" ca="1">INDEX($A$2:$A$6, RANDBETWEEN(1, 5))</f>
        <v>Кассир</v>
      </c>
      <c r="F26" s="1">
        <f ca="1">[1]Январь1!F26 + RANDBETWEEN(-5000, 5000)</f>
        <v>35255</v>
      </c>
      <c r="G26" s="1">
        <f t="shared" ca="1" si="0"/>
        <v>8337</v>
      </c>
      <c r="H26" s="1">
        <f t="shared" ca="1" si="1"/>
        <v>43592</v>
      </c>
    </row>
    <row r="27" spans="1:8" ht="15.75">
      <c r="A27" s="1"/>
      <c r="B27" s="1"/>
      <c r="C27" s="1"/>
      <c r="D27" s="4" t="s">
        <v>36</v>
      </c>
      <c r="E27" s="3" t="str" cm="1">
        <f t="array" aca="1" ref="E27" ca="1">INDEX($A$2:$A$6, RANDBETWEEN(1, 5))</f>
        <v>Уборщик</v>
      </c>
      <c r="F27" s="1">
        <f ca="1">[1]Январь1!F27 + RANDBETWEEN(-5000, 5000)</f>
        <v>54017</v>
      </c>
      <c r="G27" s="1">
        <f t="shared" ca="1" si="0"/>
        <v>9000</v>
      </c>
      <c r="H27" s="1">
        <f t="shared" ca="1" si="1"/>
        <v>63017</v>
      </c>
    </row>
    <row r="28" spans="1:8" ht="15.75">
      <c r="A28" s="1"/>
      <c r="B28" s="1"/>
      <c r="C28" s="1"/>
      <c r="D28" s="4" t="s">
        <v>37</v>
      </c>
      <c r="E28" s="3" t="str" cm="1">
        <f t="array" aca="1" ref="E28" ca="1">INDEX($A$2:$A$6, RANDBETWEEN(1, 5))</f>
        <v>Бариста</v>
      </c>
      <c r="F28" s="1">
        <f ca="1">[1]Январь1!F28 + RANDBETWEEN(-5000, 5000)</f>
        <v>45325</v>
      </c>
      <c r="G28" s="1">
        <f t="shared" ca="1" si="0"/>
        <v>6720</v>
      </c>
      <c r="H28" s="1">
        <f t="shared" ca="1" si="1"/>
        <v>52045</v>
      </c>
    </row>
    <row r="29" spans="1:8" ht="15.75">
      <c r="A29" s="1"/>
      <c r="B29" s="1"/>
      <c r="C29" s="1"/>
      <c r="D29" s="4" t="s">
        <v>38</v>
      </c>
      <c r="E29" s="3" t="str" cm="1">
        <f t="array" aca="1" ref="E29" ca="1">INDEX($A$2:$A$6, RANDBETWEEN(1, 5))</f>
        <v>Бариста</v>
      </c>
      <c r="F29" s="1">
        <f ca="1">[1]Январь1!F29 + RANDBETWEEN(-5000, 5000)</f>
        <v>23076</v>
      </c>
      <c r="G29" s="1">
        <f t="shared" ca="1" si="0"/>
        <v>6487</v>
      </c>
      <c r="H29" s="1">
        <f t="shared" ca="1" si="1"/>
        <v>29563</v>
      </c>
    </row>
    <row r="30" spans="1:8" ht="15.75">
      <c r="A30" s="1"/>
      <c r="B30" s="1"/>
      <c r="C30" s="1"/>
      <c r="D30" s="4" t="s">
        <v>39</v>
      </c>
      <c r="E30" s="3" t="str" cm="1">
        <f t="array" aca="1" ref="E30" ca="1">INDEX($A$2:$A$6, RANDBETWEEN(1, 5))</f>
        <v>Уборщик</v>
      </c>
      <c r="F30" s="1">
        <f ca="1">[1]Январь1!F30 + RANDBETWEEN(-5000, 5000)</f>
        <v>59889</v>
      </c>
      <c r="G30" s="1">
        <f t="shared" ca="1" si="0"/>
        <v>7272</v>
      </c>
      <c r="H30" s="1">
        <f t="shared" ca="1" si="1"/>
        <v>67161</v>
      </c>
    </row>
    <row r="31" spans="1:8" ht="15.75">
      <c r="A31" s="1"/>
      <c r="B31" s="1"/>
      <c r="C31" s="1"/>
      <c r="D31" s="4" t="s">
        <v>40</v>
      </c>
      <c r="E31" s="3" t="str" cm="1">
        <f t="array" aca="1" ref="E31" ca="1">INDEX($A$2:$A$6, RANDBETWEEN(1, 5))</f>
        <v>Кассир</v>
      </c>
      <c r="F31" s="1">
        <f ca="1">[1]Январь1!F31 + RANDBETWEEN(-5000, 5000)</f>
        <v>48725</v>
      </c>
      <c r="G31" s="1">
        <f t="shared" ca="1" si="0"/>
        <v>7716</v>
      </c>
      <c r="H31" s="1">
        <f t="shared" ca="1" si="1"/>
        <v>56441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A456-A636-41F5-B97F-C0D0DDE70F04}">
  <dimension ref="A1:H31"/>
  <sheetViews>
    <sheetView workbookViewId="0">
      <selection activeCell="G3" sqref="G3"/>
    </sheetView>
  </sheetViews>
  <sheetFormatPr defaultRowHeight="14.25"/>
  <cols>
    <col min="3" max="3" width="0.125" customWidth="1"/>
    <col min="4" max="4" width="33" customWidth="1"/>
    <col min="8" max="8" width="16.875" customWidth="1"/>
  </cols>
  <sheetData>
    <row r="1" spans="1:8" ht="15">
      <c r="A1" s="3" t="s">
        <v>1</v>
      </c>
      <c r="B1" s="3" t="s">
        <v>7</v>
      </c>
      <c r="C1" s="1"/>
      <c r="D1" s="3" t="s">
        <v>0</v>
      </c>
      <c r="E1" s="3" t="s">
        <v>1</v>
      </c>
      <c r="F1" s="3" t="s">
        <v>2</v>
      </c>
      <c r="G1" s="3" t="s">
        <v>3</v>
      </c>
      <c r="H1" s="3" t="s">
        <v>10</v>
      </c>
    </row>
    <row r="2" spans="1:8" ht="15.75">
      <c r="A2" s="3" t="s">
        <v>4</v>
      </c>
      <c r="B2" s="3">
        <v>100000</v>
      </c>
      <c r="C2" s="1"/>
      <c r="D2" s="4" t="s">
        <v>12</v>
      </c>
      <c r="E2" s="3" t="str" cm="1">
        <f t="array" aca="1" ref="E2" ca="1">INDEX($A$2:$A$6, RANDBETWEEN(1, 5))</f>
        <v>Директор</v>
      </c>
      <c r="F2" s="1">
        <f ca="1">[1]Январь1!F2 + RANDBETWEEN(-5000, 5000)</f>
        <v>1607</v>
      </c>
      <c r="G2" s="1">
        <f ca="1">RANDBETWEEN(7000, 10000)</f>
        <v>7707</v>
      </c>
      <c r="H2" s="1">
        <f ca="1">F2+G2</f>
        <v>9314</v>
      </c>
    </row>
    <row r="3" spans="1:8" ht="15.75">
      <c r="A3" s="3" t="s">
        <v>8</v>
      </c>
      <c r="B3" s="3">
        <v>60000</v>
      </c>
      <c r="C3" s="1"/>
      <c r="D3" s="4" t="s">
        <v>11</v>
      </c>
      <c r="E3" s="3" t="str" cm="1">
        <f t="array" aca="1" ref="E3" ca="1">INDEX($A$2:$A$6, RANDBETWEEN(1, 5))</f>
        <v>Уборщик</v>
      </c>
      <c r="F3" s="1">
        <f ca="1">[1]Январь1!F3 + RANDBETWEEN(-5000, 5000)</f>
        <v>1739</v>
      </c>
      <c r="G3" s="1">
        <f t="shared" ref="G3:G31" ca="1" si="0">RANDBETWEEN(7000, 10000)</f>
        <v>7286</v>
      </c>
      <c r="H3" s="1">
        <f t="shared" ref="H3:H31" ca="1" si="1">F3+G3</f>
        <v>9025</v>
      </c>
    </row>
    <row r="4" spans="1:8" ht="15.75">
      <c r="A4" s="3" t="s">
        <v>5</v>
      </c>
      <c r="B4" s="3">
        <v>45000</v>
      </c>
      <c r="C4" s="1"/>
      <c r="D4" s="4" t="s">
        <v>13</v>
      </c>
      <c r="E4" s="3" t="str" cm="1">
        <f t="array" aca="1" ref="E4" ca="1">INDEX($A$2:$A$6, RANDBETWEEN(1, 5))</f>
        <v>Кассир</v>
      </c>
      <c r="F4" s="1">
        <f ca="1">[1]Январь1!F4 + RANDBETWEEN(-5000, 5000)</f>
        <v>-8130</v>
      </c>
      <c r="G4" s="1">
        <f t="shared" ca="1" si="0"/>
        <v>9547</v>
      </c>
      <c r="H4" s="1">
        <f t="shared" ca="1" si="1"/>
        <v>1417</v>
      </c>
    </row>
    <row r="5" spans="1:8" ht="15.75">
      <c r="A5" s="3" t="s">
        <v>9</v>
      </c>
      <c r="B5" s="3">
        <v>40000</v>
      </c>
      <c r="C5" s="1"/>
      <c r="D5" s="4" t="s">
        <v>14</v>
      </c>
      <c r="E5" s="3" t="str" cm="1">
        <f t="array" aca="1" ref="E5" ca="1">INDEX($A$2:$A$6, RANDBETWEEN(1, 5))</f>
        <v>Бариста</v>
      </c>
      <c r="F5" s="1">
        <f ca="1">[1]Январь1!F5 + RANDBETWEEN(-5000, 5000)</f>
        <v>5864</v>
      </c>
      <c r="G5" s="1">
        <f t="shared" ca="1" si="0"/>
        <v>9711</v>
      </c>
      <c r="H5" s="1">
        <f t="shared" ca="1" si="1"/>
        <v>15575</v>
      </c>
    </row>
    <row r="6" spans="1:8" ht="15.75">
      <c r="A6" s="3" t="s">
        <v>6</v>
      </c>
      <c r="B6" s="3">
        <v>30000</v>
      </c>
      <c r="C6" s="1"/>
      <c r="D6" s="4" t="s">
        <v>15</v>
      </c>
      <c r="E6" s="3" t="str" cm="1">
        <f t="array" aca="1" ref="E6" ca="1">INDEX($A$2:$A$6, RANDBETWEEN(1, 5))</f>
        <v>Уборщик</v>
      </c>
      <c r="F6" s="1">
        <f ca="1">[1]Январь1!F6 + RANDBETWEEN(-5000, 5000)</f>
        <v>1523</v>
      </c>
      <c r="G6" s="1">
        <f t="shared" ca="1" si="0"/>
        <v>7781</v>
      </c>
      <c r="H6" s="1">
        <f t="shared" ca="1" si="1"/>
        <v>9304</v>
      </c>
    </row>
    <row r="7" spans="1:8" ht="15.75">
      <c r="A7" s="1"/>
      <c r="B7" s="1"/>
      <c r="C7" s="1"/>
      <c r="D7" s="4" t="s">
        <v>16</v>
      </c>
      <c r="E7" s="3" t="str" cm="1">
        <f t="array" aca="1" ref="E7" ca="1">INDEX($A$2:$A$6, RANDBETWEEN(1, 5))</f>
        <v>Кассир</v>
      </c>
      <c r="F7" s="1">
        <f ca="1">[1]Январь1!F7 + RANDBETWEEN(-5000, 5000)</f>
        <v>64264</v>
      </c>
      <c r="G7" s="1">
        <f t="shared" ca="1" si="0"/>
        <v>9003</v>
      </c>
      <c r="H7" s="1">
        <f t="shared" ca="1" si="1"/>
        <v>73267</v>
      </c>
    </row>
    <row r="8" spans="1:8" ht="15.75">
      <c r="A8" s="1"/>
      <c r="B8" s="1"/>
      <c r="C8" s="1"/>
      <c r="D8" s="4" t="s">
        <v>17</v>
      </c>
      <c r="E8" s="3" t="str" cm="1">
        <f t="array" aca="1" ref="E8" ca="1">INDEX($A$2:$A$6, RANDBETWEEN(1, 5))</f>
        <v>Кассир</v>
      </c>
      <c r="F8" s="1">
        <f ca="1">[1]Январь1!F8 + RANDBETWEEN(-5000, 5000)</f>
        <v>46077</v>
      </c>
      <c r="G8" s="1">
        <f t="shared" ca="1" si="0"/>
        <v>9196</v>
      </c>
      <c r="H8" s="1">
        <f t="shared" ca="1" si="1"/>
        <v>55273</v>
      </c>
    </row>
    <row r="9" spans="1:8" ht="15.75">
      <c r="A9" s="1"/>
      <c r="B9" s="1"/>
      <c r="C9" s="1"/>
      <c r="D9" s="4" t="s">
        <v>18</v>
      </c>
      <c r="E9" s="3" t="str" cm="1">
        <f t="array" aca="1" ref="E9" ca="1">INDEX($A$2:$A$6, RANDBETWEEN(1, 5))</f>
        <v>Менджер</v>
      </c>
      <c r="F9" s="1">
        <f ca="1">[1]Январь1!F9 + RANDBETWEEN(-5000, 5000)</f>
        <v>51707</v>
      </c>
      <c r="G9" s="1">
        <f t="shared" ca="1" si="0"/>
        <v>8613</v>
      </c>
      <c r="H9" s="1">
        <f t="shared" ca="1" si="1"/>
        <v>60320</v>
      </c>
    </row>
    <row r="10" spans="1:8" ht="15.75">
      <c r="A10" s="1"/>
      <c r="B10" s="1"/>
      <c r="C10" s="1"/>
      <c r="D10" s="4" t="s">
        <v>19</v>
      </c>
      <c r="E10" s="3" t="str" cm="1">
        <f t="array" aca="1" ref="E10" ca="1">INDEX($A$2:$A$6, RANDBETWEEN(1, 5))</f>
        <v>Бариста</v>
      </c>
      <c r="F10" s="1">
        <f ca="1">[1]Январь1!F10 + RANDBETWEEN(-5000, 5000)</f>
        <v>47756</v>
      </c>
      <c r="G10" s="1">
        <f t="shared" ca="1" si="0"/>
        <v>9769</v>
      </c>
      <c r="H10" s="1">
        <f t="shared" ca="1" si="1"/>
        <v>57525</v>
      </c>
    </row>
    <row r="11" spans="1:8" ht="15.75">
      <c r="A11" s="1"/>
      <c r="B11" s="1"/>
      <c r="C11" s="1"/>
      <c r="D11" s="4" t="s">
        <v>20</v>
      </c>
      <c r="E11" s="3" t="str" cm="1">
        <f t="array" aca="1" ref="E11" ca="1">INDEX($A$2:$A$6, RANDBETWEEN(1, 5))</f>
        <v>Уборщик</v>
      </c>
      <c r="F11" s="1">
        <f ca="1">[1]Январь1!F11 + RANDBETWEEN(-5000, 5000)</f>
        <v>48426</v>
      </c>
      <c r="G11" s="1">
        <f t="shared" ca="1" si="0"/>
        <v>7033</v>
      </c>
      <c r="H11" s="1">
        <f t="shared" ca="1" si="1"/>
        <v>55459</v>
      </c>
    </row>
    <row r="12" spans="1:8" ht="15.75">
      <c r="A12" s="1"/>
      <c r="B12" s="1"/>
      <c r="C12" s="1"/>
      <c r="D12" s="4" t="s">
        <v>22</v>
      </c>
      <c r="E12" s="3" t="str" cm="1">
        <f t="array" aca="1" ref="E12" ca="1">INDEX($A$2:$A$6, RANDBETWEEN(1, 5))</f>
        <v>Директор</v>
      </c>
      <c r="F12" s="1">
        <f ca="1">[1]Январь1!F12 + RANDBETWEEN(-5000, 5000)</f>
        <v>33854</v>
      </c>
      <c r="G12" s="1">
        <f t="shared" ca="1" si="0"/>
        <v>9871</v>
      </c>
      <c r="H12" s="1">
        <f t="shared" ca="1" si="1"/>
        <v>43725</v>
      </c>
    </row>
    <row r="13" spans="1:8" ht="15.75">
      <c r="A13" s="1"/>
      <c r="B13" s="1"/>
      <c r="C13" s="1"/>
      <c r="D13" s="4" t="s">
        <v>21</v>
      </c>
      <c r="E13" s="3" t="str" cm="1">
        <f t="array" aca="1" ref="E13" ca="1">INDEX($A$2:$A$6, RANDBETWEEN(1, 5))</f>
        <v>Менджер</v>
      </c>
      <c r="F13" s="1">
        <f ca="1">[1]Январь1!F13 + RANDBETWEEN(-5000, 5000)</f>
        <v>29691</v>
      </c>
      <c r="G13" s="1">
        <f t="shared" ca="1" si="0"/>
        <v>9811</v>
      </c>
      <c r="H13" s="1">
        <f t="shared" ca="1" si="1"/>
        <v>39502</v>
      </c>
    </row>
    <row r="14" spans="1:8" ht="15.75">
      <c r="A14" s="1"/>
      <c r="B14" s="1"/>
      <c r="C14" s="1"/>
      <c r="D14" s="4" t="s">
        <v>23</v>
      </c>
      <c r="E14" s="3" t="str" cm="1">
        <f t="array" aca="1" ref="E14" ca="1">INDEX($A$2:$A$6, RANDBETWEEN(1, 5))</f>
        <v>Кассир</v>
      </c>
      <c r="F14" s="1">
        <f ca="1">[1]Январь1!F14 + RANDBETWEEN(-5000, 5000)</f>
        <v>94535</v>
      </c>
      <c r="G14" s="1">
        <f t="shared" ca="1" si="0"/>
        <v>8821</v>
      </c>
      <c r="H14" s="1">
        <f t="shared" ca="1" si="1"/>
        <v>103356</v>
      </c>
    </row>
    <row r="15" spans="1:8" ht="15.75">
      <c r="A15" s="1"/>
      <c r="B15" s="1"/>
      <c r="C15" s="1"/>
      <c r="D15" s="4" t="s">
        <v>24</v>
      </c>
      <c r="E15" s="3" t="str" cm="1">
        <f t="array" aca="1" ref="E15" ca="1">INDEX($A$2:$A$6, RANDBETWEEN(1, 5))</f>
        <v>Кассир</v>
      </c>
      <c r="F15" s="1">
        <f ca="1">[1]Январь1!F15 + RANDBETWEEN(-5000, 5000)</f>
        <v>42891</v>
      </c>
      <c r="G15" s="1">
        <f t="shared" ca="1" si="0"/>
        <v>8161</v>
      </c>
      <c r="H15" s="1">
        <f t="shared" ca="1" si="1"/>
        <v>51052</v>
      </c>
    </row>
    <row r="16" spans="1:8" ht="15.75">
      <c r="A16" s="1"/>
      <c r="B16" s="1"/>
      <c r="C16" s="1"/>
      <c r="D16" s="4" t="s">
        <v>25</v>
      </c>
      <c r="E16" s="3" t="str" cm="1">
        <f t="array" aca="1" ref="E16" ca="1">INDEX($A$2:$A$6, RANDBETWEEN(1, 5))</f>
        <v>Бариста</v>
      </c>
      <c r="F16" s="1">
        <f ca="1">[1]Январь1!F16 + RANDBETWEEN(-5000, 5000)</f>
        <v>45371</v>
      </c>
      <c r="G16" s="1">
        <f t="shared" ca="1" si="0"/>
        <v>7064</v>
      </c>
      <c r="H16" s="1">
        <f t="shared" ca="1" si="1"/>
        <v>52435</v>
      </c>
    </row>
    <row r="17" spans="1:8" ht="15.75">
      <c r="A17" s="1"/>
      <c r="B17" s="1"/>
      <c r="C17" s="1"/>
      <c r="D17" s="4" t="s">
        <v>26</v>
      </c>
      <c r="E17" s="3" t="str" cm="1">
        <f t="array" aca="1" ref="E17" ca="1">INDEX($A$2:$A$6, RANDBETWEEN(1, 5))</f>
        <v>Уборщик</v>
      </c>
      <c r="F17" s="1">
        <f ca="1">[1]Январь1!F17 + RANDBETWEEN(-5000, 5000)</f>
        <v>60493</v>
      </c>
      <c r="G17" s="1">
        <f t="shared" ca="1" si="0"/>
        <v>9877</v>
      </c>
      <c r="H17" s="1">
        <f t="shared" ca="1" si="1"/>
        <v>70370</v>
      </c>
    </row>
    <row r="18" spans="1:8" ht="15.75">
      <c r="A18" s="1"/>
      <c r="B18" s="1"/>
      <c r="C18" s="1"/>
      <c r="D18" s="4" t="s">
        <v>27</v>
      </c>
      <c r="E18" s="3" t="str" cm="1">
        <f t="array" aca="1" ref="E18" ca="1">INDEX($A$2:$A$6, RANDBETWEEN(1, 5))</f>
        <v>Менджер</v>
      </c>
      <c r="F18" s="1">
        <f ca="1">[1]Январь1!F18 + RANDBETWEEN(-5000, 5000)</f>
        <v>100251</v>
      </c>
      <c r="G18" s="1">
        <f t="shared" ca="1" si="0"/>
        <v>7979</v>
      </c>
      <c r="H18" s="1">
        <f t="shared" ca="1" si="1"/>
        <v>108230</v>
      </c>
    </row>
    <row r="19" spans="1:8" ht="15.75">
      <c r="A19" s="1"/>
      <c r="B19" s="1"/>
      <c r="C19" s="1"/>
      <c r="D19" s="4" t="s">
        <v>28</v>
      </c>
      <c r="E19" s="3" t="str" cm="1">
        <f t="array" aca="1" ref="E19" ca="1">INDEX($A$2:$A$6, RANDBETWEEN(1, 5))</f>
        <v>Кассир</v>
      </c>
      <c r="F19" s="1">
        <f ca="1">[1]Январь1!F19 + RANDBETWEEN(-5000, 5000)</f>
        <v>86991</v>
      </c>
      <c r="G19" s="1">
        <f t="shared" ca="1" si="0"/>
        <v>8455</v>
      </c>
      <c r="H19" s="1">
        <f t="shared" ca="1" si="1"/>
        <v>95446</v>
      </c>
    </row>
    <row r="20" spans="1:8" ht="15.75">
      <c r="A20" s="1"/>
      <c r="B20" s="1"/>
      <c r="C20" s="1"/>
      <c r="D20" s="4" t="s">
        <v>29</v>
      </c>
      <c r="E20" s="3" t="str" cm="1">
        <f t="array" aca="1" ref="E20" ca="1">INDEX($A$2:$A$6, RANDBETWEEN(1, 5))</f>
        <v>Бариста</v>
      </c>
      <c r="F20" s="1">
        <f ca="1">[1]Январь1!F20 + RANDBETWEEN(-5000, 5000)</f>
        <v>37362</v>
      </c>
      <c r="G20" s="1">
        <f t="shared" ca="1" si="0"/>
        <v>9699</v>
      </c>
      <c r="H20" s="1">
        <f t="shared" ca="1" si="1"/>
        <v>47061</v>
      </c>
    </row>
    <row r="21" spans="1:8" ht="15.75">
      <c r="A21" s="1"/>
      <c r="B21" s="1"/>
      <c r="C21" s="1"/>
      <c r="D21" s="4" t="s">
        <v>30</v>
      </c>
      <c r="E21" s="3" t="str" cm="1">
        <f t="array" aca="1" ref="E21" ca="1">INDEX($A$2:$A$6, RANDBETWEEN(1, 5))</f>
        <v>Бариста</v>
      </c>
      <c r="F21" s="1">
        <f ca="1">[1]Январь1!F21 + RANDBETWEEN(-5000, 5000)</f>
        <v>39262</v>
      </c>
      <c r="G21" s="1">
        <f t="shared" ca="1" si="0"/>
        <v>9780</v>
      </c>
      <c r="H21" s="1">
        <f t="shared" ca="1" si="1"/>
        <v>49042</v>
      </c>
    </row>
    <row r="22" spans="1:8" ht="15.75">
      <c r="A22" s="1"/>
      <c r="B22" s="1"/>
      <c r="C22" s="1"/>
      <c r="D22" s="4" t="s">
        <v>31</v>
      </c>
      <c r="E22" s="3" t="str" cm="1">
        <f t="array" aca="1" ref="E22" ca="1">INDEX($A$2:$A$6, RANDBETWEEN(1, 5))</f>
        <v>Менджер</v>
      </c>
      <c r="F22" s="1">
        <f ca="1">[1]Январь1!F22 + RANDBETWEEN(-5000, 5000)</f>
        <v>43676</v>
      </c>
      <c r="G22" s="1">
        <f t="shared" ca="1" si="0"/>
        <v>8219</v>
      </c>
      <c r="H22" s="1">
        <f t="shared" ca="1" si="1"/>
        <v>51895</v>
      </c>
    </row>
    <row r="23" spans="1:8" ht="15.75">
      <c r="A23" s="1"/>
      <c r="B23" s="1"/>
      <c r="C23" s="1"/>
      <c r="D23" s="4" t="s">
        <v>32</v>
      </c>
      <c r="E23" s="3" t="str" cm="1">
        <f t="array" aca="1" ref="E23" ca="1">INDEX($A$2:$A$6, RANDBETWEEN(1, 5))</f>
        <v>Кассир</v>
      </c>
      <c r="F23" s="1">
        <f ca="1">[1]Январь1!F23 + RANDBETWEEN(-5000, 5000)</f>
        <v>49100</v>
      </c>
      <c r="G23" s="1">
        <f t="shared" ca="1" si="0"/>
        <v>9366</v>
      </c>
      <c r="H23" s="1">
        <f t="shared" ca="1" si="1"/>
        <v>58466</v>
      </c>
    </row>
    <row r="24" spans="1:8" ht="15.75">
      <c r="A24" s="1"/>
      <c r="B24" s="1"/>
      <c r="C24" s="1"/>
      <c r="D24" s="4" t="s">
        <v>33</v>
      </c>
      <c r="E24" s="3" t="str" cm="1">
        <f t="array" aca="1" ref="E24" ca="1">INDEX($A$2:$A$6, RANDBETWEEN(1, 5))</f>
        <v>Директор</v>
      </c>
      <c r="F24" s="1">
        <f ca="1">[1]Январь1!F24 + RANDBETWEEN(-5000, 5000)</f>
        <v>48627</v>
      </c>
      <c r="G24" s="1">
        <f t="shared" ca="1" si="0"/>
        <v>8259</v>
      </c>
      <c r="H24" s="1">
        <f t="shared" ca="1" si="1"/>
        <v>56886</v>
      </c>
    </row>
    <row r="25" spans="1:8" ht="15.75">
      <c r="A25" s="1"/>
      <c r="B25" s="1"/>
      <c r="C25" s="1"/>
      <c r="D25" s="4" t="s">
        <v>34</v>
      </c>
      <c r="E25" s="3" t="str" cm="1">
        <f t="array" aca="1" ref="E25" ca="1">INDEX($A$2:$A$6, RANDBETWEEN(1, 5))</f>
        <v>Бариста</v>
      </c>
      <c r="F25" s="1">
        <f ca="1">[1]Январь1!F25 + RANDBETWEEN(-5000, 5000)</f>
        <v>63611</v>
      </c>
      <c r="G25" s="1">
        <f t="shared" ca="1" si="0"/>
        <v>8906</v>
      </c>
      <c r="H25" s="1">
        <f t="shared" ca="1" si="1"/>
        <v>72517</v>
      </c>
    </row>
    <row r="26" spans="1:8" ht="15.75">
      <c r="A26" s="1"/>
      <c r="B26" s="1"/>
      <c r="C26" s="1"/>
      <c r="D26" s="4" t="s">
        <v>35</v>
      </c>
      <c r="E26" s="3" t="str" cm="1">
        <f t="array" aca="1" ref="E26" ca="1">INDEX($A$2:$A$6, RANDBETWEEN(1, 5))</f>
        <v>Директор</v>
      </c>
      <c r="F26" s="1">
        <f ca="1">[1]Январь1!F26 + RANDBETWEEN(-5000, 5000)</f>
        <v>31358</v>
      </c>
      <c r="G26" s="1">
        <f t="shared" ca="1" si="0"/>
        <v>8210</v>
      </c>
      <c r="H26" s="1">
        <f t="shared" ca="1" si="1"/>
        <v>39568</v>
      </c>
    </row>
    <row r="27" spans="1:8" ht="15.75">
      <c r="A27" s="1"/>
      <c r="B27" s="1"/>
      <c r="C27" s="1"/>
      <c r="D27" s="4" t="s">
        <v>36</v>
      </c>
      <c r="E27" s="3" t="str" cm="1">
        <f t="array" aca="1" ref="E27" ca="1">INDEX($A$2:$A$6, RANDBETWEEN(1, 5))</f>
        <v>Кассир</v>
      </c>
      <c r="F27" s="1">
        <f ca="1">[1]Январь1!F27 + RANDBETWEEN(-5000, 5000)</f>
        <v>58927</v>
      </c>
      <c r="G27" s="1">
        <f t="shared" ca="1" si="0"/>
        <v>8411</v>
      </c>
      <c r="H27" s="1">
        <f t="shared" ca="1" si="1"/>
        <v>67338</v>
      </c>
    </row>
    <row r="28" spans="1:8" ht="15.75">
      <c r="A28" s="1"/>
      <c r="B28" s="1"/>
      <c r="C28" s="1"/>
      <c r="D28" s="4" t="s">
        <v>37</v>
      </c>
      <c r="E28" s="3" t="str" cm="1">
        <f t="array" aca="1" ref="E28" ca="1">INDEX($A$2:$A$6, RANDBETWEEN(1, 5))</f>
        <v>Уборщик</v>
      </c>
      <c r="F28" s="1">
        <f ca="1">[1]Январь1!F28 + RANDBETWEEN(-5000, 5000)</f>
        <v>40669</v>
      </c>
      <c r="G28" s="1">
        <f t="shared" ca="1" si="0"/>
        <v>7315</v>
      </c>
      <c r="H28" s="1">
        <f t="shared" ca="1" si="1"/>
        <v>47984</v>
      </c>
    </row>
    <row r="29" spans="1:8" ht="15.75">
      <c r="A29" s="1"/>
      <c r="B29" s="1"/>
      <c r="C29" s="1"/>
      <c r="D29" s="4" t="s">
        <v>38</v>
      </c>
      <c r="E29" s="3" t="str" cm="1">
        <f t="array" aca="1" ref="E29" ca="1">INDEX($A$2:$A$6, RANDBETWEEN(1, 5))</f>
        <v>Директор</v>
      </c>
      <c r="F29" s="1">
        <f ca="1">[1]Январь1!F29 + RANDBETWEEN(-5000, 5000)</f>
        <v>24228</v>
      </c>
      <c r="G29" s="1">
        <f t="shared" ca="1" si="0"/>
        <v>9716</v>
      </c>
      <c r="H29" s="1">
        <f t="shared" ca="1" si="1"/>
        <v>33944</v>
      </c>
    </row>
    <row r="30" spans="1:8" ht="15.75">
      <c r="A30" s="1"/>
      <c r="B30" s="1"/>
      <c r="C30" s="1"/>
      <c r="D30" s="4" t="s">
        <v>39</v>
      </c>
      <c r="E30" s="3" t="str" cm="1">
        <f t="array" aca="1" ref="E30" ca="1">INDEX($A$2:$A$6, RANDBETWEEN(1, 5))</f>
        <v>Кассир</v>
      </c>
      <c r="F30" s="1">
        <f ca="1">[1]Январь1!F30 + RANDBETWEEN(-5000, 5000)</f>
        <v>61071</v>
      </c>
      <c r="G30" s="1">
        <f t="shared" ca="1" si="0"/>
        <v>8205</v>
      </c>
      <c r="H30" s="1">
        <f t="shared" ca="1" si="1"/>
        <v>69276</v>
      </c>
    </row>
    <row r="31" spans="1:8" ht="15.75">
      <c r="A31" s="1"/>
      <c r="B31" s="1"/>
      <c r="C31" s="1"/>
      <c r="D31" s="4" t="s">
        <v>40</v>
      </c>
      <c r="E31" s="3" t="str" cm="1">
        <f t="array" aca="1" ref="E31" ca="1">INDEX($A$2:$A$6, RANDBETWEEN(1, 5))</f>
        <v>Уборщик</v>
      </c>
      <c r="F31" s="1">
        <f ca="1">[1]Январь1!F31 + RANDBETWEEN(-5000, 5000)</f>
        <v>56494</v>
      </c>
      <c r="G31" s="1">
        <f t="shared" ca="1" si="0"/>
        <v>9622</v>
      </c>
      <c r="H31" s="1">
        <f t="shared" ca="1" si="1"/>
        <v>66116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FB3C-1D28-4109-8472-7094F2775E2A}">
  <dimension ref="A1:H31"/>
  <sheetViews>
    <sheetView topLeftCell="A13" workbookViewId="0">
      <selection activeCell="F2" sqref="F2:F31"/>
    </sheetView>
  </sheetViews>
  <sheetFormatPr defaultRowHeight="14.25"/>
  <cols>
    <col min="2" max="2" width="8.75" customWidth="1"/>
    <col min="3" max="3" width="9" hidden="1" customWidth="1"/>
    <col min="4" max="4" width="32.75" customWidth="1"/>
    <col min="8" max="8" width="18.375" customWidth="1"/>
  </cols>
  <sheetData>
    <row r="1" spans="1:8" ht="15">
      <c r="A1" s="3" t="s">
        <v>1</v>
      </c>
      <c r="B1" s="3" t="s">
        <v>7</v>
      </c>
      <c r="C1" s="1"/>
      <c r="D1" s="3" t="s">
        <v>0</v>
      </c>
      <c r="E1" s="3" t="s">
        <v>1</v>
      </c>
      <c r="F1" s="3" t="s">
        <v>2</v>
      </c>
      <c r="G1" s="3" t="s">
        <v>3</v>
      </c>
      <c r="H1" s="3" t="s">
        <v>10</v>
      </c>
    </row>
    <row r="2" spans="1:8" ht="15.75">
      <c r="A2" s="3" t="s">
        <v>4</v>
      </c>
      <c r="B2" s="3">
        <v>100000</v>
      </c>
      <c r="C2" s="1"/>
      <c r="D2" s="4" t="s">
        <v>12</v>
      </c>
      <c r="E2" s="3" t="str" cm="1">
        <f t="array" aca="1" ref="E2" ca="1">INDEX($A$2:$A$6, RANDBETWEEN(1, 5))</f>
        <v>Кассир</v>
      </c>
      <c r="F2" s="1">
        <f ca="1">[1]Январь1!F2 + RANDBETWEEN(-5000, 5000)</f>
        <v>5508</v>
      </c>
      <c r="G2" s="1">
        <f ca="1">RANDBETWEEN(5000, 18000)</f>
        <v>5177</v>
      </c>
      <c r="H2" s="1">
        <f ca="1">F2+G2</f>
        <v>10685</v>
      </c>
    </row>
    <row r="3" spans="1:8" ht="15.75">
      <c r="A3" s="3" t="s">
        <v>8</v>
      </c>
      <c r="B3" s="3">
        <v>60000</v>
      </c>
      <c r="C3" s="1"/>
      <c r="D3" s="4" t="s">
        <v>11</v>
      </c>
      <c r="E3" s="3" t="str" cm="1">
        <f t="array" aca="1" ref="E3" ca="1">INDEX($A$2:$A$6, RANDBETWEEN(1, 5))</f>
        <v>Бариста</v>
      </c>
      <c r="F3" s="1">
        <f ca="1">[1]Январь1!F3 + RANDBETWEEN(-5000, 5000)</f>
        <v>-5642</v>
      </c>
      <c r="G3" s="1">
        <f t="shared" ref="G3:G31" ca="1" si="0">RANDBETWEEN(5000, 18000)</f>
        <v>8491</v>
      </c>
      <c r="H3" s="1">
        <f t="shared" ref="H3:H31" ca="1" si="1">F3+G3</f>
        <v>2849</v>
      </c>
    </row>
    <row r="4" spans="1:8" ht="15.75">
      <c r="A4" s="3" t="s">
        <v>5</v>
      </c>
      <c r="B4" s="3">
        <v>45000</v>
      </c>
      <c r="C4" s="1"/>
      <c r="D4" s="4" t="s">
        <v>13</v>
      </c>
      <c r="E4" s="3" t="str" cm="1">
        <f t="array" aca="1" ref="E4" ca="1">INDEX($A$2:$A$6, RANDBETWEEN(1, 5))</f>
        <v>Уборщик</v>
      </c>
      <c r="F4" s="1">
        <f ca="1">[1]Январь1!F4 + RANDBETWEEN(-5000, 5000)</f>
        <v>-7268</v>
      </c>
      <c r="G4" s="1">
        <f t="shared" ca="1" si="0"/>
        <v>10263</v>
      </c>
      <c r="H4" s="1">
        <f t="shared" ca="1" si="1"/>
        <v>2995</v>
      </c>
    </row>
    <row r="5" spans="1:8" ht="15.75">
      <c r="A5" s="3" t="s">
        <v>9</v>
      </c>
      <c r="B5" s="3">
        <v>40000</v>
      </c>
      <c r="C5" s="1"/>
      <c r="D5" s="4" t="s">
        <v>14</v>
      </c>
      <c r="E5" s="3" t="str" cm="1">
        <f t="array" aca="1" ref="E5" ca="1">INDEX($A$2:$A$6, RANDBETWEEN(1, 5))</f>
        <v>Бариста</v>
      </c>
      <c r="F5" s="1">
        <f ca="1">[1]Январь1!F5 + RANDBETWEEN(-5000, 5000)</f>
        <v>7366</v>
      </c>
      <c r="G5" s="1">
        <f t="shared" ca="1" si="0"/>
        <v>8133</v>
      </c>
      <c r="H5" s="1">
        <f t="shared" ca="1" si="1"/>
        <v>15499</v>
      </c>
    </row>
    <row r="6" spans="1:8" ht="15.75">
      <c r="A6" s="3" t="s">
        <v>6</v>
      </c>
      <c r="B6" s="3">
        <v>30000</v>
      </c>
      <c r="C6" s="1"/>
      <c r="D6" s="4" t="s">
        <v>15</v>
      </c>
      <c r="E6" s="3" t="str" cm="1">
        <f t="array" aca="1" ref="E6" ca="1">INDEX($A$2:$A$6, RANDBETWEEN(1, 5))</f>
        <v>Уборщик</v>
      </c>
      <c r="F6" s="1">
        <f ca="1">[1]Январь1!F6 + RANDBETWEEN(-5000, 5000)</f>
        <v>709</v>
      </c>
      <c r="G6" s="1">
        <f t="shared" ca="1" si="0"/>
        <v>17311</v>
      </c>
      <c r="H6" s="1">
        <f t="shared" ca="1" si="1"/>
        <v>18020</v>
      </c>
    </row>
    <row r="7" spans="1:8" ht="15.75">
      <c r="A7" s="1"/>
      <c r="B7" s="1"/>
      <c r="C7" s="1"/>
      <c r="D7" s="4" t="s">
        <v>16</v>
      </c>
      <c r="E7" s="3" t="str" cm="1">
        <f t="array" aca="1" ref="E7" ca="1">INDEX($A$2:$A$6, RANDBETWEEN(1, 5))</f>
        <v>Менджер</v>
      </c>
      <c r="F7" s="1">
        <f ca="1">[1]Январь1!F7 + RANDBETWEEN(-5000, 5000)</f>
        <v>61886</v>
      </c>
      <c r="G7" s="1">
        <f t="shared" ca="1" si="0"/>
        <v>11524</v>
      </c>
      <c r="H7" s="1">
        <f t="shared" ca="1" si="1"/>
        <v>73410</v>
      </c>
    </row>
    <row r="8" spans="1:8" ht="15.75">
      <c r="A8" s="1"/>
      <c r="B8" s="1"/>
      <c r="C8" s="1"/>
      <c r="D8" s="4" t="s">
        <v>17</v>
      </c>
      <c r="E8" s="3" t="str" cm="1">
        <f t="array" aca="1" ref="E8" ca="1">INDEX($A$2:$A$6, RANDBETWEEN(1, 5))</f>
        <v>Уборщик</v>
      </c>
      <c r="F8" s="1">
        <f ca="1">[1]Январь1!F8 + RANDBETWEEN(-5000, 5000)</f>
        <v>41397</v>
      </c>
      <c r="G8" s="1">
        <f t="shared" ca="1" si="0"/>
        <v>10089</v>
      </c>
      <c r="H8" s="1">
        <f t="shared" ca="1" si="1"/>
        <v>51486</v>
      </c>
    </row>
    <row r="9" spans="1:8" ht="15.75">
      <c r="A9" s="1"/>
      <c r="B9" s="1"/>
      <c r="C9" s="1"/>
      <c r="D9" s="4" t="s">
        <v>18</v>
      </c>
      <c r="E9" s="3" t="str" cm="1">
        <f t="array" aca="1" ref="E9" ca="1">INDEX($A$2:$A$6, RANDBETWEEN(1, 5))</f>
        <v>Кассир</v>
      </c>
      <c r="F9" s="1">
        <f ca="1">[1]Январь1!F9 + RANDBETWEEN(-5000, 5000)</f>
        <v>48775</v>
      </c>
      <c r="G9" s="1">
        <f t="shared" ca="1" si="0"/>
        <v>8949</v>
      </c>
      <c r="H9" s="1">
        <f t="shared" ca="1" si="1"/>
        <v>57724</v>
      </c>
    </row>
    <row r="10" spans="1:8" ht="15.75">
      <c r="A10" s="1"/>
      <c r="B10" s="1"/>
      <c r="C10" s="1"/>
      <c r="D10" s="4" t="s">
        <v>19</v>
      </c>
      <c r="E10" s="3" t="str" cm="1">
        <f t="array" aca="1" ref="E10" ca="1">INDEX($A$2:$A$6, RANDBETWEEN(1, 5))</f>
        <v>Бариста</v>
      </c>
      <c r="F10" s="1">
        <f ca="1">[1]Январь1!F10 + RANDBETWEEN(-5000, 5000)</f>
        <v>40505</v>
      </c>
      <c r="G10" s="1">
        <f t="shared" ca="1" si="0"/>
        <v>16649</v>
      </c>
      <c r="H10" s="1">
        <f t="shared" ca="1" si="1"/>
        <v>57154</v>
      </c>
    </row>
    <row r="11" spans="1:8" ht="15.75">
      <c r="A11" s="1"/>
      <c r="B11" s="1"/>
      <c r="C11" s="1"/>
      <c r="D11" s="4" t="s">
        <v>20</v>
      </c>
      <c r="E11" s="3" t="str" cm="1">
        <f t="array" aca="1" ref="E11" ca="1">INDEX($A$2:$A$6, RANDBETWEEN(1, 5))</f>
        <v>Директор</v>
      </c>
      <c r="F11" s="1">
        <f ca="1">[1]Январь1!F11 + RANDBETWEEN(-5000, 5000)</f>
        <v>42888</v>
      </c>
      <c r="G11" s="1">
        <f t="shared" ca="1" si="0"/>
        <v>11365</v>
      </c>
      <c r="H11" s="1">
        <f t="shared" ca="1" si="1"/>
        <v>54253</v>
      </c>
    </row>
    <row r="12" spans="1:8" ht="15.75">
      <c r="A12" s="1"/>
      <c r="B12" s="1"/>
      <c r="C12" s="1"/>
      <c r="D12" s="4" t="s">
        <v>22</v>
      </c>
      <c r="E12" s="3" t="str" cm="1">
        <f t="array" aca="1" ref="E12" ca="1">INDEX($A$2:$A$6, RANDBETWEEN(1, 5))</f>
        <v>Менджер</v>
      </c>
      <c r="F12" s="1">
        <f ca="1">[1]Январь1!F12 + RANDBETWEEN(-5000, 5000)</f>
        <v>26577</v>
      </c>
      <c r="G12" s="1">
        <f t="shared" ca="1" si="0"/>
        <v>5012</v>
      </c>
      <c r="H12" s="1">
        <f t="shared" ca="1" si="1"/>
        <v>31589</v>
      </c>
    </row>
    <row r="13" spans="1:8" ht="15.75">
      <c r="A13" s="1"/>
      <c r="B13" s="1"/>
      <c r="C13" s="1"/>
      <c r="D13" s="4" t="s">
        <v>21</v>
      </c>
      <c r="E13" s="3" t="str" cm="1">
        <f t="array" aca="1" ref="E13" ca="1">INDEX($A$2:$A$6, RANDBETWEEN(1, 5))</f>
        <v>Менджер</v>
      </c>
      <c r="F13" s="1">
        <f ca="1">[1]Январь1!F13 + RANDBETWEEN(-5000, 5000)</f>
        <v>32914</v>
      </c>
      <c r="G13" s="1">
        <f t="shared" ca="1" si="0"/>
        <v>12619</v>
      </c>
      <c r="H13" s="1">
        <f t="shared" ca="1" si="1"/>
        <v>45533</v>
      </c>
    </row>
    <row r="14" spans="1:8" ht="15.75">
      <c r="A14" s="1"/>
      <c r="B14" s="1"/>
      <c r="C14" s="1"/>
      <c r="D14" s="4" t="s">
        <v>23</v>
      </c>
      <c r="E14" s="3" t="str" cm="1">
        <f t="array" aca="1" ref="E14" ca="1">INDEX($A$2:$A$6, RANDBETWEEN(1, 5))</f>
        <v>Директор</v>
      </c>
      <c r="F14" s="1">
        <f ca="1">[1]Январь1!F14 + RANDBETWEEN(-5000, 5000)</f>
        <v>99403</v>
      </c>
      <c r="G14" s="1">
        <f t="shared" ca="1" si="0"/>
        <v>6238</v>
      </c>
      <c r="H14" s="1">
        <f t="shared" ca="1" si="1"/>
        <v>105641</v>
      </c>
    </row>
    <row r="15" spans="1:8" ht="15.75">
      <c r="A15" s="1"/>
      <c r="B15" s="1"/>
      <c r="C15" s="1"/>
      <c r="D15" s="4" t="s">
        <v>24</v>
      </c>
      <c r="E15" s="3" t="str" cm="1">
        <f t="array" aca="1" ref="E15" ca="1">INDEX($A$2:$A$6, RANDBETWEEN(1, 5))</f>
        <v>Уборщик</v>
      </c>
      <c r="F15" s="1">
        <f ca="1">[1]Январь1!F15 + RANDBETWEEN(-5000, 5000)</f>
        <v>36821</v>
      </c>
      <c r="G15" s="1">
        <f t="shared" ca="1" si="0"/>
        <v>6211</v>
      </c>
      <c r="H15" s="1">
        <f t="shared" ca="1" si="1"/>
        <v>43032</v>
      </c>
    </row>
    <row r="16" spans="1:8" ht="15.75">
      <c r="A16" s="1"/>
      <c r="B16" s="1"/>
      <c r="C16" s="1"/>
      <c r="D16" s="4" t="s">
        <v>25</v>
      </c>
      <c r="E16" s="3" t="str" cm="1">
        <f t="array" aca="1" ref="E16" ca="1">INDEX($A$2:$A$6, RANDBETWEEN(1, 5))</f>
        <v>Уборщик</v>
      </c>
      <c r="F16" s="1">
        <f ca="1">[1]Январь1!F16 + RANDBETWEEN(-5000, 5000)</f>
        <v>48419</v>
      </c>
      <c r="G16" s="1">
        <f t="shared" ca="1" si="0"/>
        <v>9691</v>
      </c>
      <c r="H16" s="1">
        <f t="shared" ca="1" si="1"/>
        <v>58110</v>
      </c>
    </row>
    <row r="17" spans="1:8" ht="15.75">
      <c r="A17" s="1"/>
      <c r="B17" s="1"/>
      <c r="C17" s="1"/>
      <c r="D17" s="4" t="s">
        <v>26</v>
      </c>
      <c r="E17" s="3" t="str" cm="1">
        <f t="array" aca="1" ref="E17" ca="1">INDEX($A$2:$A$6, RANDBETWEEN(1, 5))</f>
        <v>Уборщик</v>
      </c>
      <c r="F17" s="1">
        <f ca="1">[1]Январь1!F17 + RANDBETWEEN(-5000, 5000)</f>
        <v>55537</v>
      </c>
      <c r="G17" s="1">
        <f t="shared" ca="1" si="0"/>
        <v>11151</v>
      </c>
      <c r="H17" s="1">
        <f t="shared" ca="1" si="1"/>
        <v>66688</v>
      </c>
    </row>
    <row r="18" spans="1:8" ht="15.75">
      <c r="A18" s="1"/>
      <c r="B18" s="1"/>
      <c r="C18" s="1"/>
      <c r="D18" s="4" t="s">
        <v>27</v>
      </c>
      <c r="E18" s="3" t="str" cm="1">
        <f t="array" aca="1" ref="E18" ca="1">INDEX($A$2:$A$6, RANDBETWEEN(1, 5))</f>
        <v>Уборщик</v>
      </c>
      <c r="F18" s="1">
        <f ca="1">[1]Январь1!F18 + RANDBETWEEN(-5000, 5000)</f>
        <v>98496</v>
      </c>
      <c r="G18" s="1">
        <f t="shared" ca="1" si="0"/>
        <v>7442</v>
      </c>
      <c r="H18" s="1">
        <f t="shared" ca="1" si="1"/>
        <v>105938</v>
      </c>
    </row>
    <row r="19" spans="1:8" ht="15.75">
      <c r="A19" s="1"/>
      <c r="B19" s="1"/>
      <c r="C19" s="1"/>
      <c r="D19" s="4" t="s">
        <v>28</v>
      </c>
      <c r="E19" s="3" t="str" cm="1">
        <f t="array" aca="1" ref="E19" ca="1">INDEX($A$2:$A$6, RANDBETWEEN(1, 5))</f>
        <v>Уборщик</v>
      </c>
      <c r="F19" s="1">
        <f ca="1">[1]Январь1!F19 + RANDBETWEEN(-5000, 5000)</f>
        <v>96288</v>
      </c>
      <c r="G19" s="1">
        <f t="shared" ca="1" si="0"/>
        <v>15273</v>
      </c>
      <c r="H19" s="1">
        <f t="shared" ca="1" si="1"/>
        <v>111561</v>
      </c>
    </row>
    <row r="20" spans="1:8" ht="15.75">
      <c r="A20" s="1"/>
      <c r="B20" s="1"/>
      <c r="C20" s="1"/>
      <c r="D20" s="4" t="s">
        <v>29</v>
      </c>
      <c r="E20" s="3" t="str" cm="1">
        <f t="array" aca="1" ref="E20" ca="1">INDEX($A$2:$A$6, RANDBETWEEN(1, 5))</f>
        <v>Бариста</v>
      </c>
      <c r="F20" s="1">
        <f ca="1">[1]Январь1!F20 + RANDBETWEEN(-5000, 5000)</f>
        <v>36323</v>
      </c>
      <c r="G20" s="1">
        <f t="shared" ca="1" si="0"/>
        <v>10509</v>
      </c>
      <c r="H20" s="1">
        <f t="shared" ca="1" si="1"/>
        <v>46832</v>
      </c>
    </row>
    <row r="21" spans="1:8" ht="15.75">
      <c r="A21" s="1"/>
      <c r="B21" s="1"/>
      <c r="C21" s="1"/>
      <c r="D21" s="4" t="s">
        <v>30</v>
      </c>
      <c r="E21" s="3" t="str" cm="1">
        <f t="array" aca="1" ref="E21" ca="1">INDEX($A$2:$A$6, RANDBETWEEN(1, 5))</f>
        <v>Уборщик</v>
      </c>
      <c r="F21" s="1">
        <f ca="1">[1]Январь1!F21 + RANDBETWEEN(-5000, 5000)</f>
        <v>43992</v>
      </c>
      <c r="G21" s="1">
        <f t="shared" ca="1" si="0"/>
        <v>15349</v>
      </c>
      <c r="H21" s="1">
        <f t="shared" ca="1" si="1"/>
        <v>59341</v>
      </c>
    </row>
    <row r="22" spans="1:8" ht="15.75">
      <c r="A22" s="1"/>
      <c r="B22" s="1"/>
      <c r="C22" s="1"/>
      <c r="D22" s="4" t="s">
        <v>31</v>
      </c>
      <c r="E22" s="3" t="str" cm="1">
        <f t="array" aca="1" ref="E22" ca="1">INDEX($A$2:$A$6, RANDBETWEEN(1, 5))</f>
        <v>Бариста</v>
      </c>
      <c r="F22" s="1">
        <f ca="1">[1]Январь1!F22 + RANDBETWEEN(-5000, 5000)</f>
        <v>45118</v>
      </c>
      <c r="G22" s="1">
        <f t="shared" ca="1" si="0"/>
        <v>16052</v>
      </c>
      <c r="H22" s="1">
        <f t="shared" ca="1" si="1"/>
        <v>61170</v>
      </c>
    </row>
    <row r="23" spans="1:8" ht="15.75">
      <c r="A23" s="1"/>
      <c r="B23" s="1"/>
      <c r="C23" s="1"/>
      <c r="D23" s="4" t="s">
        <v>32</v>
      </c>
      <c r="E23" s="3" t="str" cm="1">
        <f t="array" aca="1" ref="E23" ca="1">INDEX($A$2:$A$6, RANDBETWEEN(1, 5))</f>
        <v>Менджер</v>
      </c>
      <c r="F23" s="1">
        <f ca="1">[1]Январь1!F23 + RANDBETWEEN(-5000, 5000)</f>
        <v>48669</v>
      </c>
      <c r="G23" s="1">
        <f t="shared" ca="1" si="0"/>
        <v>9243</v>
      </c>
      <c r="H23" s="1">
        <f t="shared" ca="1" si="1"/>
        <v>57912</v>
      </c>
    </row>
    <row r="24" spans="1:8" ht="15.75">
      <c r="A24" s="1"/>
      <c r="B24" s="1"/>
      <c r="C24" s="1"/>
      <c r="D24" s="4" t="s">
        <v>33</v>
      </c>
      <c r="E24" s="3" t="str" cm="1">
        <f t="array" aca="1" ref="E24" ca="1">INDEX($A$2:$A$6, RANDBETWEEN(1, 5))</f>
        <v>Директор</v>
      </c>
      <c r="F24" s="1">
        <f ca="1">[1]Январь1!F24 + RANDBETWEEN(-5000, 5000)</f>
        <v>44712</v>
      </c>
      <c r="G24" s="1">
        <f t="shared" ca="1" si="0"/>
        <v>6770</v>
      </c>
      <c r="H24" s="1">
        <f t="shared" ca="1" si="1"/>
        <v>51482</v>
      </c>
    </row>
    <row r="25" spans="1:8" ht="15.75">
      <c r="A25" s="1"/>
      <c r="B25" s="1"/>
      <c r="C25" s="1"/>
      <c r="D25" s="4" t="s">
        <v>34</v>
      </c>
      <c r="E25" s="3" t="str" cm="1">
        <f t="array" aca="1" ref="E25" ca="1">INDEX($A$2:$A$6, RANDBETWEEN(1, 5))</f>
        <v>Директор</v>
      </c>
      <c r="F25" s="1">
        <f ca="1">[1]Январь1!F25 + RANDBETWEEN(-5000, 5000)</f>
        <v>67449</v>
      </c>
      <c r="G25" s="1">
        <f t="shared" ca="1" si="0"/>
        <v>8938</v>
      </c>
      <c r="H25" s="1">
        <f t="shared" ca="1" si="1"/>
        <v>76387</v>
      </c>
    </row>
    <row r="26" spans="1:8" ht="15.75">
      <c r="A26" s="1"/>
      <c r="B26" s="1"/>
      <c r="C26" s="1"/>
      <c r="D26" s="4" t="s">
        <v>35</v>
      </c>
      <c r="E26" s="3" t="str" cm="1">
        <f t="array" aca="1" ref="E26" ca="1">INDEX($A$2:$A$6, RANDBETWEEN(1, 5))</f>
        <v>Кассир</v>
      </c>
      <c r="F26" s="1">
        <f ca="1">[1]Январь1!F26 + RANDBETWEEN(-5000, 5000)</f>
        <v>36841</v>
      </c>
      <c r="G26" s="1">
        <f t="shared" ca="1" si="0"/>
        <v>10698</v>
      </c>
      <c r="H26" s="1">
        <f t="shared" ca="1" si="1"/>
        <v>47539</v>
      </c>
    </row>
    <row r="27" spans="1:8" ht="15.75">
      <c r="A27" s="1"/>
      <c r="B27" s="1"/>
      <c r="C27" s="1"/>
      <c r="D27" s="4" t="s">
        <v>36</v>
      </c>
      <c r="E27" s="3" t="str" cm="1">
        <f t="array" aca="1" ref="E27" ca="1">INDEX($A$2:$A$6, RANDBETWEEN(1, 5))</f>
        <v>Бариста</v>
      </c>
      <c r="F27" s="1">
        <f ca="1">[1]Январь1!F27 + RANDBETWEEN(-5000, 5000)</f>
        <v>59927</v>
      </c>
      <c r="G27" s="1">
        <f t="shared" ca="1" si="0"/>
        <v>14514</v>
      </c>
      <c r="H27" s="1">
        <f t="shared" ca="1" si="1"/>
        <v>74441</v>
      </c>
    </row>
    <row r="28" spans="1:8" ht="15.75">
      <c r="A28" s="1"/>
      <c r="B28" s="1"/>
      <c r="C28" s="1"/>
      <c r="D28" s="4" t="s">
        <v>37</v>
      </c>
      <c r="E28" s="3" t="str" cm="1">
        <f t="array" aca="1" ref="E28" ca="1">INDEX($A$2:$A$6, RANDBETWEEN(1, 5))</f>
        <v>Уборщик</v>
      </c>
      <c r="F28" s="1">
        <f ca="1">[1]Январь1!F28 + RANDBETWEEN(-5000, 5000)</f>
        <v>39775</v>
      </c>
      <c r="G28" s="1">
        <f t="shared" ca="1" si="0"/>
        <v>13354</v>
      </c>
      <c r="H28" s="1">
        <f t="shared" ca="1" si="1"/>
        <v>53129</v>
      </c>
    </row>
    <row r="29" spans="1:8" ht="15.75">
      <c r="A29" s="1"/>
      <c r="B29" s="1"/>
      <c r="C29" s="1"/>
      <c r="D29" s="4" t="s">
        <v>38</v>
      </c>
      <c r="E29" s="3" t="str" cm="1">
        <f t="array" aca="1" ref="E29" ca="1">INDEX($A$2:$A$6, RANDBETWEEN(1, 5))</f>
        <v>Уборщик</v>
      </c>
      <c r="F29" s="1">
        <f ca="1">[1]Январь1!F29 + RANDBETWEEN(-5000, 5000)</f>
        <v>29139</v>
      </c>
      <c r="G29" s="1">
        <f t="shared" ca="1" si="0"/>
        <v>8730</v>
      </c>
      <c r="H29" s="1">
        <f t="shared" ca="1" si="1"/>
        <v>37869</v>
      </c>
    </row>
    <row r="30" spans="1:8" ht="15.75">
      <c r="A30" s="1"/>
      <c r="B30" s="1"/>
      <c r="C30" s="1"/>
      <c r="D30" s="4" t="s">
        <v>39</v>
      </c>
      <c r="E30" s="3" t="str" cm="1">
        <f t="array" aca="1" ref="E30" ca="1">INDEX($A$2:$A$6, RANDBETWEEN(1, 5))</f>
        <v>Кассир</v>
      </c>
      <c r="F30" s="1">
        <f ca="1">[1]Январь1!F30 + RANDBETWEEN(-5000, 5000)</f>
        <v>59744</v>
      </c>
      <c r="G30" s="1">
        <f t="shared" ca="1" si="0"/>
        <v>7697</v>
      </c>
      <c r="H30" s="1">
        <f t="shared" ca="1" si="1"/>
        <v>67441</v>
      </c>
    </row>
    <row r="31" spans="1:8" ht="15.75">
      <c r="A31" s="1"/>
      <c r="B31" s="1"/>
      <c r="C31" s="1"/>
      <c r="D31" s="4" t="s">
        <v>40</v>
      </c>
      <c r="E31" s="3" t="str" cm="1">
        <f t="array" aca="1" ref="E31" ca="1">INDEX($A$2:$A$6, RANDBETWEEN(1, 5))</f>
        <v>Уборщик</v>
      </c>
      <c r="F31" s="1">
        <f ca="1">[1]Январь1!F31 + RANDBETWEEN(-5000, 5000)</f>
        <v>57567</v>
      </c>
      <c r="G31" s="1">
        <f t="shared" ca="1" si="0"/>
        <v>12548</v>
      </c>
      <c r="H31" s="1">
        <f t="shared" ca="1" si="1"/>
        <v>70115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82F8-3808-4125-9FEF-AB3A9A984BE0}">
  <dimension ref="A1:H31"/>
  <sheetViews>
    <sheetView workbookViewId="0">
      <selection activeCell="F2" sqref="F2:F31"/>
    </sheetView>
  </sheetViews>
  <sheetFormatPr defaultRowHeight="14.25"/>
  <cols>
    <col min="2" max="2" width="9" customWidth="1"/>
    <col min="3" max="3" width="0.125" customWidth="1"/>
    <col min="4" max="4" width="34.5" customWidth="1"/>
    <col min="6" max="6" width="10.375" bestFit="1" customWidth="1"/>
    <col min="8" max="8" width="18.125" customWidth="1"/>
  </cols>
  <sheetData>
    <row r="1" spans="1:8" ht="15">
      <c r="A1" s="3" t="s">
        <v>1</v>
      </c>
      <c r="B1" s="3" t="s">
        <v>7</v>
      </c>
      <c r="C1" s="1"/>
      <c r="D1" s="3" t="s">
        <v>0</v>
      </c>
      <c r="E1" s="3" t="s">
        <v>1</v>
      </c>
      <c r="F1" s="3" t="s">
        <v>2</v>
      </c>
      <c r="G1" s="3" t="s">
        <v>3</v>
      </c>
      <c r="H1" s="3" t="s">
        <v>10</v>
      </c>
    </row>
    <row r="2" spans="1:8" ht="15.75">
      <c r="A2" s="3" t="s">
        <v>4</v>
      </c>
      <c r="B2" s="3">
        <v>100000</v>
      </c>
      <c r="C2" s="1"/>
      <c r="D2" s="4" t="s">
        <v>12</v>
      </c>
      <c r="E2" s="3" t="str" cm="1">
        <f t="array" aca="1" ref="E2" ca="1">INDEX($A$2:$A$6, RANDBETWEEN(1, 5))</f>
        <v>Менджер</v>
      </c>
      <c r="F2" s="1">
        <f ca="1">[1]Январь1!F2 + RANDBETWEEN(-5000, 5000)</f>
        <v>-54</v>
      </c>
      <c r="G2" s="1">
        <f ca="1">RANDBETWEEN(5000, 20000)</f>
        <v>7044</v>
      </c>
      <c r="H2" s="1">
        <f ca="1">F2+G2</f>
        <v>6990</v>
      </c>
    </row>
    <row r="3" spans="1:8" ht="15.75">
      <c r="A3" s="3" t="s">
        <v>8</v>
      </c>
      <c r="B3" s="3">
        <v>60000</v>
      </c>
      <c r="C3" s="1"/>
      <c r="D3" s="4" t="s">
        <v>11</v>
      </c>
      <c r="E3" s="3" t="str" cm="1">
        <f t="array" aca="1" ref="E3" ca="1">INDEX($A$2:$A$6, RANDBETWEEN(1, 5))</f>
        <v>Бариста</v>
      </c>
      <c r="F3" s="1">
        <f ca="1">[1]Январь1!F3 + RANDBETWEEN(-5000, 5000)</f>
        <v>1571</v>
      </c>
      <c r="G3" s="1">
        <f t="shared" ref="G3:G31" ca="1" si="0">RANDBETWEEN(5000, 20000)</f>
        <v>16569</v>
      </c>
      <c r="H3" s="1">
        <f t="shared" ref="H3:H31" ca="1" si="1">F3+G3</f>
        <v>18140</v>
      </c>
    </row>
    <row r="4" spans="1:8" ht="15.75">
      <c r="A4" s="3" t="s">
        <v>5</v>
      </c>
      <c r="B4" s="3">
        <v>45000</v>
      </c>
      <c r="C4" s="1"/>
      <c r="D4" s="4" t="s">
        <v>13</v>
      </c>
      <c r="E4" s="3" t="str" cm="1">
        <f t="array" aca="1" ref="E4" ca="1">INDEX($A$2:$A$6, RANDBETWEEN(1, 5))</f>
        <v>Директор</v>
      </c>
      <c r="F4" s="1">
        <f ca="1">[1]Январь1!F4 + RANDBETWEEN(-5000, 5000)</f>
        <v>-4957</v>
      </c>
      <c r="G4" s="1">
        <f t="shared" ca="1" si="0"/>
        <v>14930</v>
      </c>
      <c r="H4" s="1">
        <f t="shared" ca="1" si="1"/>
        <v>9973</v>
      </c>
    </row>
    <row r="5" spans="1:8" ht="15.75">
      <c r="A5" s="3" t="s">
        <v>9</v>
      </c>
      <c r="B5" s="3">
        <v>40000</v>
      </c>
      <c r="C5" s="1"/>
      <c r="D5" s="4" t="s">
        <v>14</v>
      </c>
      <c r="E5" s="3" t="str" cm="1">
        <f t="array" aca="1" ref="E5" ca="1">INDEX($A$2:$A$6, RANDBETWEEN(1, 5))</f>
        <v>Менджер</v>
      </c>
      <c r="F5" s="1">
        <f ca="1">[1]Январь1!F5 + RANDBETWEEN(-5000, 5000)</f>
        <v>9472</v>
      </c>
      <c r="G5" s="1">
        <f t="shared" ca="1" si="0"/>
        <v>8310</v>
      </c>
      <c r="H5" s="1">
        <f t="shared" ca="1" si="1"/>
        <v>17782</v>
      </c>
    </row>
    <row r="6" spans="1:8" ht="15.75">
      <c r="A6" s="3" t="s">
        <v>6</v>
      </c>
      <c r="B6" s="3">
        <v>30000</v>
      </c>
      <c r="C6" s="1"/>
      <c r="D6" s="4" t="s">
        <v>15</v>
      </c>
      <c r="E6" s="3" t="str" cm="1">
        <f t="array" aca="1" ref="E6" ca="1">INDEX($A$2:$A$6, RANDBETWEEN(1, 5))</f>
        <v>Директор</v>
      </c>
      <c r="F6" s="1">
        <f ca="1">[1]Январь1!F6 + RANDBETWEEN(-5000, 5000)</f>
        <v>3987</v>
      </c>
      <c r="G6" s="1">
        <f t="shared" ca="1" si="0"/>
        <v>19040</v>
      </c>
      <c r="H6" s="1">
        <f t="shared" ca="1" si="1"/>
        <v>23027</v>
      </c>
    </row>
    <row r="7" spans="1:8" ht="15.75">
      <c r="A7" s="1"/>
      <c r="B7" s="1"/>
      <c r="C7" s="1"/>
      <c r="D7" s="4" t="s">
        <v>16</v>
      </c>
      <c r="E7" s="3" t="str" cm="1">
        <f t="array" aca="1" ref="E7" ca="1">INDEX($A$2:$A$6, RANDBETWEEN(1, 5))</f>
        <v>Бариста</v>
      </c>
      <c r="F7" s="1">
        <f ca="1">[1]Январь1!F7 + RANDBETWEEN(-5000, 5000)</f>
        <v>64341</v>
      </c>
      <c r="G7" s="1">
        <f t="shared" ca="1" si="0"/>
        <v>7057</v>
      </c>
      <c r="H7" s="1">
        <f t="shared" ca="1" si="1"/>
        <v>71398</v>
      </c>
    </row>
    <row r="8" spans="1:8" ht="15.75">
      <c r="A8" s="1"/>
      <c r="B8" s="1"/>
      <c r="C8" s="1"/>
      <c r="D8" s="4" t="s">
        <v>17</v>
      </c>
      <c r="E8" s="3" t="str" cm="1">
        <f t="array" aca="1" ref="E8" ca="1">INDEX($A$2:$A$6, RANDBETWEEN(1, 5))</f>
        <v>Кассир</v>
      </c>
      <c r="F8" s="1">
        <f ca="1">[1]Январь1!F8 + RANDBETWEEN(-5000, 5000)</f>
        <v>45126</v>
      </c>
      <c r="G8" s="1">
        <f t="shared" ca="1" si="0"/>
        <v>14452</v>
      </c>
      <c r="H8" s="1">
        <f t="shared" ca="1" si="1"/>
        <v>59578</v>
      </c>
    </row>
    <row r="9" spans="1:8" ht="15.75">
      <c r="A9" s="1"/>
      <c r="B9" s="1"/>
      <c r="C9" s="1"/>
      <c r="D9" s="4" t="s">
        <v>18</v>
      </c>
      <c r="E9" s="3" t="str" cm="1">
        <f t="array" aca="1" ref="E9" ca="1">INDEX($A$2:$A$6, RANDBETWEEN(1, 5))</f>
        <v>Менджер</v>
      </c>
      <c r="F9" s="1">
        <f ca="1">[1]Январь1!F9 + RANDBETWEEN(-5000, 5000)</f>
        <v>49705</v>
      </c>
      <c r="G9" s="1">
        <f t="shared" ca="1" si="0"/>
        <v>19379</v>
      </c>
      <c r="H9" s="1">
        <f t="shared" ca="1" si="1"/>
        <v>69084</v>
      </c>
    </row>
    <row r="10" spans="1:8" ht="15.75">
      <c r="A10" s="1"/>
      <c r="B10" s="1"/>
      <c r="C10" s="1"/>
      <c r="D10" s="4" t="s">
        <v>19</v>
      </c>
      <c r="E10" s="3" t="str" cm="1">
        <f t="array" aca="1" ref="E10" ca="1">INDEX($A$2:$A$6, RANDBETWEEN(1, 5))</f>
        <v>Кассир</v>
      </c>
      <c r="F10" s="1">
        <f ca="1">[1]Январь1!F10 + RANDBETWEEN(-5000, 5000)</f>
        <v>38792</v>
      </c>
      <c r="G10" s="1">
        <f t="shared" ca="1" si="0"/>
        <v>10260</v>
      </c>
      <c r="H10" s="1">
        <f t="shared" ca="1" si="1"/>
        <v>49052</v>
      </c>
    </row>
    <row r="11" spans="1:8" ht="15.75">
      <c r="A11" s="1"/>
      <c r="B11" s="1"/>
      <c r="C11" s="1"/>
      <c r="D11" s="4" t="s">
        <v>20</v>
      </c>
      <c r="E11" s="3" t="str" cm="1">
        <f t="array" aca="1" ref="E11" ca="1">INDEX($A$2:$A$6, RANDBETWEEN(1, 5))</f>
        <v>Директор</v>
      </c>
      <c r="F11" s="1">
        <f ca="1">[1]Январь1!F11 + RANDBETWEEN(-5000, 5000)</f>
        <v>46459</v>
      </c>
      <c r="G11" s="1">
        <f t="shared" ca="1" si="0"/>
        <v>11994</v>
      </c>
      <c r="H11" s="1">
        <f t="shared" ca="1" si="1"/>
        <v>58453</v>
      </c>
    </row>
    <row r="12" spans="1:8" ht="15.75">
      <c r="A12" s="1"/>
      <c r="B12" s="1"/>
      <c r="C12" s="1"/>
      <c r="D12" s="4" t="s">
        <v>22</v>
      </c>
      <c r="E12" s="3" t="str" cm="1">
        <f t="array" aca="1" ref="E12" ca="1">INDEX($A$2:$A$6, RANDBETWEEN(1, 5))</f>
        <v>Бариста</v>
      </c>
      <c r="F12" s="1">
        <f ca="1">[1]Январь1!F12 + RANDBETWEEN(-5000, 5000)</f>
        <v>27671</v>
      </c>
      <c r="G12" s="1">
        <f t="shared" ca="1" si="0"/>
        <v>9226</v>
      </c>
      <c r="H12" s="1">
        <f t="shared" ca="1" si="1"/>
        <v>36897</v>
      </c>
    </row>
    <row r="13" spans="1:8" ht="15.75">
      <c r="A13" s="1"/>
      <c r="B13" s="1"/>
      <c r="C13" s="1"/>
      <c r="D13" s="4" t="s">
        <v>21</v>
      </c>
      <c r="E13" s="3" t="str" cm="1">
        <f t="array" aca="1" ref="E13" ca="1">INDEX($A$2:$A$6, RANDBETWEEN(1, 5))</f>
        <v>Кассир</v>
      </c>
      <c r="F13" s="1">
        <f ca="1">[1]Январь1!F13 + RANDBETWEEN(-5000, 5000)</f>
        <v>31497</v>
      </c>
      <c r="G13" s="1">
        <f t="shared" ca="1" si="0"/>
        <v>10651</v>
      </c>
      <c r="H13" s="1">
        <f t="shared" ca="1" si="1"/>
        <v>42148</v>
      </c>
    </row>
    <row r="14" spans="1:8" ht="15.75">
      <c r="A14" s="1"/>
      <c r="B14" s="1"/>
      <c r="C14" s="1"/>
      <c r="D14" s="4" t="s">
        <v>23</v>
      </c>
      <c r="E14" s="3" t="str" cm="1">
        <f t="array" aca="1" ref="E14" ca="1">INDEX($A$2:$A$6, RANDBETWEEN(1, 5))</f>
        <v>Бариста</v>
      </c>
      <c r="F14" s="1">
        <f ca="1">[1]Январь1!F14 + RANDBETWEEN(-5000, 5000)</f>
        <v>94932</v>
      </c>
      <c r="G14" s="1">
        <f t="shared" ca="1" si="0"/>
        <v>12345</v>
      </c>
      <c r="H14" s="1">
        <f t="shared" ca="1" si="1"/>
        <v>107277</v>
      </c>
    </row>
    <row r="15" spans="1:8" ht="15.75">
      <c r="A15" s="1"/>
      <c r="B15" s="1"/>
      <c r="C15" s="1"/>
      <c r="D15" s="4" t="s">
        <v>24</v>
      </c>
      <c r="E15" s="3" t="str" cm="1">
        <f t="array" aca="1" ref="E15" ca="1">INDEX($A$2:$A$6, RANDBETWEEN(1, 5))</f>
        <v>Бариста</v>
      </c>
      <c r="F15" s="1">
        <f ca="1">[1]Январь1!F15 + RANDBETWEEN(-5000, 5000)</f>
        <v>42695</v>
      </c>
      <c r="G15" s="1">
        <f t="shared" ca="1" si="0"/>
        <v>13769</v>
      </c>
      <c r="H15" s="1">
        <f t="shared" ca="1" si="1"/>
        <v>56464</v>
      </c>
    </row>
    <row r="16" spans="1:8" ht="15.75">
      <c r="A16" s="1"/>
      <c r="B16" s="1"/>
      <c r="C16" s="1"/>
      <c r="D16" s="4" t="s">
        <v>25</v>
      </c>
      <c r="E16" s="3" t="str" cm="1">
        <f t="array" aca="1" ref="E16" ca="1">INDEX($A$2:$A$6, RANDBETWEEN(1, 5))</f>
        <v>Бариста</v>
      </c>
      <c r="F16" s="1">
        <f ca="1">[1]Январь1!F16 + RANDBETWEEN(-5000, 5000)</f>
        <v>50288</v>
      </c>
      <c r="G16" s="1">
        <f t="shared" ca="1" si="0"/>
        <v>16504</v>
      </c>
      <c r="H16" s="1">
        <f t="shared" ca="1" si="1"/>
        <v>66792</v>
      </c>
    </row>
    <row r="17" spans="1:8" ht="15.75">
      <c r="A17" s="1"/>
      <c r="B17" s="1"/>
      <c r="C17" s="1"/>
      <c r="D17" s="4" t="s">
        <v>26</v>
      </c>
      <c r="E17" s="3" t="str" cm="1">
        <f t="array" aca="1" ref="E17" ca="1">INDEX($A$2:$A$6, RANDBETWEEN(1, 5))</f>
        <v>Уборщик</v>
      </c>
      <c r="F17" s="1">
        <f ca="1">[1]Январь1!F17 + RANDBETWEEN(-5000, 5000)</f>
        <v>59281</v>
      </c>
      <c r="G17" s="1">
        <f t="shared" ca="1" si="0"/>
        <v>11763</v>
      </c>
      <c r="H17" s="1">
        <f t="shared" ca="1" si="1"/>
        <v>71044</v>
      </c>
    </row>
    <row r="18" spans="1:8" ht="15.75">
      <c r="A18" s="1"/>
      <c r="B18" s="1"/>
      <c r="C18" s="1"/>
      <c r="D18" s="4" t="s">
        <v>27</v>
      </c>
      <c r="E18" s="3" t="str" cm="1">
        <f t="array" aca="1" ref="E18" ca="1">INDEX($A$2:$A$6, RANDBETWEEN(1, 5))</f>
        <v>Бариста</v>
      </c>
      <c r="F18" s="1">
        <f ca="1">[1]Январь1!F18 + RANDBETWEEN(-5000, 5000)</f>
        <v>93792</v>
      </c>
      <c r="G18" s="1">
        <f t="shared" ca="1" si="0"/>
        <v>10637</v>
      </c>
      <c r="H18" s="1">
        <f t="shared" ca="1" si="1"/>
        <v>104429</v>
      </c>
    </row>
    <row r="19" spans="1:8" ht="15.75">
      <c r="A19" s="1"/>
      <c r="B19" s="1"/>
      <c r="C19" s="1"/>
      <c r="D19" s="4" t="s">
        <v>28</v>
      </c>
      <c r="E19" s="3" t="str" cm="1">
        <f t="array" aca="1" ref="E19" ca="1">INDEX($A$2:$A$6, RANDBETWEEN(1, 5))</f>
        <v>Уборщик</v>
      </c>
      <c r="F19" s="1">
        <f ca="1">[1]Январь1!F19 + RANDBETWEEN(-5000, 5000)</f>
        <v>90819</v>
      </c>
      <c r="G19" s="1">
        <f t="shared" ca="1" si="0"/>
        <v>18774</v>
      </c>
      <c r="H19" s="1">
        <f t="shared" ca="1" si="1"/>
        <v>109593</v>
      </c>
    </row>
    <row r="20" spans="1:8" ht="15.75">
      <c r="A20" s="1"/>
      <c r="B20" s="1"/>
      <c r="C20" s="1"/>
      <c r="D20" s="4" t="s">
        <v>29</v>
      </c>
      <c r="E20" s="3" t="str" cm="1">
        <f t="array" aca="1" ref="E20" ca="1">INDEX($A$2:$A$6, RANDBETWEEN(1, 5))</f>
        <v>Бариста</v>
      </c>
      <c r="F20" s="1">
        <f ca="1">[1]Январь1!F20 + RANDBETWEEN(-5000, 5000)</f>
        <v>37495</v>
      </c>
      <c r="G20" s="1">
        <f t="shared" ca="1" si="0"/>
        <v>16436</v>
      </c>
      <c r="H20" s="1">
        <f t="shared" ca="1" si="1"/>
        <v>53931</v>
      </c>
    </row>
    <row r="21" spans="1:8" ht="15.75">
      <c r="A21" s="1"/>
      <c r="B21" s="1"/>
      <c r="C21" s="1"/>
      <c r="D21" s="4" t="s">
        <v>30</v>
      </c>
      <c r="E21" s="3" t="str" cm="1">
        <f t="array" aca="1" ref="E21" ca="1">INDEX($A$2:$A$6, RANDBETWEEN(1, 5))</f>
        <v>Директор</v>
      </c>
      <c r="F21" s="1">
        <f ca="1">[1]Январь1!F21 + RANDBETWEEN(-5000, 5000)</f>
        <v>36678</v>
      </c>
      <c r="G21" s="1">
        <f t="shared" ca="1" si="0"/>
        <v>10110</v>
      </c>
      <c r="H21" s="1">
        <f t="shared" ca="1" si="1"/>
        <v>46788</v>
      </c>
    </row>
    <row r="22" spans="1:8" ht="15.75">
      <c r="A22" s="1"/>
      <c r="B22" s="1"/>
      <c r="C22" s="1"/>
      <c r="D22" s="4" t="s">
        <v>31</v>
      </c>
      <c r="E22" s="3" t="str" cm="1">
        <f t="array" aca="1" ref="E22" ca="1">INDEX($A$2:$A$6, RANDBETWEEN(1, 5))</f>
        <v>Уборщик</v>
      </c>
      <c r="F22" s="1">
        <f ca="1">[1]Январь1!F22 + RANDBETWEEN(-5000, 5000)</f>
        <v>38431</v>
      </c>
      <c r="G22" s="1">
        <f t="shared" ca="1" si="0"/>
        <v>13141</v>
      </c>
      <c r="H22" s="1">
        <f t="shared" ca="1" si="1"/>
        <v>51572</v>
      </c>
    </row>
    <row r="23" spans="1:8" ht="15.75">
      <c r="A23" s="1"/>
      <c r="B23" s="1"/>
      <c r="C23" s="1"/>
      <c r="D23" s="4" t="s">
        <v>32</v>
      </c>
      <c r="E23" s="3" t="str" cm="1">
        <f t="array" aca="1" ref="E23" ca="1">INDEX($A$2:$A$6, RANDBETWEEN(1, 5))</f>
        <v>Уборщик</v>
      </c>
      <c r="F23" s="1">
        <f ca="1">[1]Январь1!F23 + RANDBETWEEN(-5000, 5000)</f>
        <v>52520</v>
      </c>
      <c r="G23" s="1">
        <f t="shared" ca="1" si="0"/>
        <v>8258</v>
      </c>
      <c r="H23" s="1">
        <f t="shared" ca="1" si="1"/>
        <v>60778</v>
      </c>
    </row>
    <row r="24" spans="1:8" ht="15.75">
      <c r="A24" s="1"/>
      <c r="B24" s="1"/>
      <c r="C24" s="1"/>
      <c r="D24" s="4" t="s">
        <v>33</v>
      </c>
      <c r="E24" s="3" t="str" cm="1">
        <f t="array" aca="1" ref="E24" ca="1">INDEX($A$2:$A$6, RANDBETWEEN(1, 5))</f>
        <v>Менджер</v>
      </c>
      <c r="F24" s="1">
        <f ca="1">[1]Январь1!F24 + RANDBETWEEN(-5000, 5000)</f>
        <v>47797</v>
      </c>
      <c r="G24" s="1">
        <f t="shared" ca="1" si="0"/>
        <v>15741</v>
      </c>
      <c r="H24" s="1">
        <f t="shared" ca="1" si="1"/>
        <v>63538</v>
      </c>
    </row>
    <row r="25" spans="1:8" ht="15.75">
      <c r="A25" s="1"/>
      <c r="B25" s="1"/>
      <c r="C25" s="1"/>
      <c r="D25" s="4" t="s">
        <v>34</v>
      </c>
      <c r="E25" s="3" t="str" cm="1">
        <f t="array" aca="1" ref="E25" ca="1">INDEX($A$2:$A$6, RANDBETWEEN(1, 5))</f>
        <v>Уборщик</v>
      </c>
      <c r="F25" s="1">
        <f ca="1">[1]Январь1!F25 + RANDBETWEEN(-5000, 5000)</f>
        <v>65712</v>
      </c>
      <c r="G25" s="1">
        <f t="shared" ca="1" si="0"/>
        <v>15506</v>
      </c>
      <c r="H25" s="1">
        <f t="shared" ca="1" si="1"/>
        <v>81218</v>
      </c>
    </row>
    <row r="26" spans="1:8" ht="15.75">
      <c r="A26" s="1"/>
      <c r="B26" s="1"/>
      <c r="C26" s="1"/>
      <c r="D26" s="4" t="s">
        <v>35</v>
      </c>
      <c r="E26" s="3" t="str" cm="1">
        <f t="array" aca="1" ref="E26" ca="1">INDEX($A$2:$A$6, RANDBETWEEN(1, 5))</f>
        <v>Бариста</v>
      </c>
      <c r="F26" s="1">
        <f ca="1">[1]Январь1!F26 + RANDBETWEEN(-5000, 5000)</f>
        <v>29897</v>
      </c>
      <c r="G26" s="1">
        <f t="shared" ca="1" si="0"/>
        <v>9639</v>
      </c>
      <c r="H26" s="1">
        <f t="shared" ca="1" si="1"/>
        <v>39536</v>
      </c>
    </row>
    <row r="27" spans="1:8" ht="15.75">
      <c r="A27" s="1"/>
      <c r="B27" s="1"/>
      <c r="C27" s="1"/>
      <c r="D27" s="4" t="s">
        <v>36</v>
      </c>
      <c r="E27" s="3" t="str" cm="1">
        <f t="array" aca="1" ref="E27" ca="1">INDEX($A$2:$A$6, RANDBETWEEN(1, 5))</f>
        <v>Директор</v>
      </c>
      <c r="F27" s="1">
        <f ca="1">[1]Январь1!F27 + RANDBETWEEN(-5000, 5000)</f>
        <v>52971</v>
      </c>
      <c r="G27" s="1">
        <f t="shared" ca="1" si="0"/>
        <v>15616</v>
      </c>
      <c r="H27" s="1">
        <f t="shared" ca="1" si="1"/>
        <v>68587</v>
      </c>
    </row>
    <row r="28" spans="1:8" ht="15.75">
      <c r="A28" s="1"/>
      <c r="B28" s="1"/>
      <c r="C28" s="1"/>
      <c r="D28" s="4" t="s">
        <v>37</v>
      </c>
      <c r="E28" s="3" t="str" cm="1">
        <f t="array" aca="1" ref="E28" ca="1">INDEX($A$2:$A$6, RANDBETWEEN(1, 5))</f>
        <v>Директор</v>
      </c>
      <c r="F28" s="1">
        <f ca="1">[1]Январь1!F28 + RANDBETWEEN(-5000, 5000)</f>
        <v>45033</v>
      </c>
      <c r="G28" s="1">
        <f t="shared" ca="1" si="0"/>
        <v>19218</v>
      </c>
      <c r="H28" s="1">
        <f t="shared" ca="1" si="1"/>
        <v>64251</v>
      </c>
    </row>
    <row r="29" spans="1:8" ht="15.75">
      <c r="A29" s="1"/>
      <c r="B29" s="1"/>
      <c r="C29" s="1"/>
      <c r="D29" s="4" t="s">
        <v>38</v>
      </c>
      <c r="E29" s="3" t="str" cm="1">
        <f t="array" aca="1" ref="E29" ca="1">INDEX($A$2:$A$6, RANDBETWEEN(1, 5))</f>
        <v>Бариста</v>
      </c>
      <c r="F29" s="1">
        <f ca="1">[1]Январь1!F29 + RANDBETWEEN(-5000, 5000)</f>
        <v>23628</v>
      </c>
      <c r="G29" s="1">
        <f t="shared" ca="1" si="0"/>
        <v>13643</v>
      </c>
      <c r="H29" s="1">
        <f t="shared" ca="1" si="1"/>
        <v>37271</v>
      </c>
    </row>
    <row r="30" spans="1:8" ht="15.75">
      <c r="A30" s="1"/>
      <c r="B30" s="1"/>
      <c r="C30" s="1"/>
      <c r="D30" s="4" t="s">
        <v>39</v>
      </c>
      <c r="E30" s="3" t="str" cm="1">
        <f t="array" aca="1" ref="E30" ca="1">INDEX($A$2:$A$6, RANDBETWEEN(1, 5))</f>
        <v>Бариста</v>
      </c>
      <c r="F30" s="1">
        <f ca="1">[1]Январь1!F30 + RANDBETWEEN(-5000, 5000)</f>
        <v>57646</v>
      </c>
      <c r="G30" s="1">
        <f t="shared" ca="1" si="0"/>
        <v>5869</v>
      </c>
      <c r="H30" s="1">
        <f t="shared" ca="1" si="1"/>
        <v>63515</v>
      </c>
    </row>
    <row r="31" spans="1:8" ht="15.75">
      <c r="A31" s="1"/>
      <c r="B31" s="1"/>
      <c r="C31" s="1"/>
      <c r="D31" s="4" t="s">
        <v>40</v>
      </c>
      <c r="E31" s="3" t="str" cm="1">
        <f t="array" aca="1" ref="E31" ca="1">INDEX($A$2:$A$6, RANDBETWEEN(1, 5))</f>
        <v>Менджер</v>
      </c>
      <c r="F31" s="1">
        <f ca="1">[1]Январь1!F31 + RANDBETWEEN(-5000, 5000)</f>
        <v>52320</v>
      </c>
      <c r="G31" s="1">
        <f t="shared" ca="1" si="0"/>
        <v>8681</v>
      </c>
      <c r="H31" s="1">
        <f t="shared" ca="1" si="1"/>
        <v>61001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D0E6-A14C-454B-835A-B73D7F963F94}">
  <dimension ref="A1:H31"/>
  <sheetViews>
    <sheetView workbookViewId="0">
      <selection activeCell="H2" sqref="H2:H6"/>
    </sheetView>
  </sheetViews>
  <sheetFormatPr defaultRowHeight="14.25"/>
  <cols>
    <col min="2" max="2" width="9" customWidth="1"/>
    <col min="3" max="3" width="9" hidden="1" customWidth="1"/>
    <col min="4" max="4" width="31.5" customWidth="1"/>
    <col min="8" max="8" width="18.125" customWidth="1"/>
  </cols>
  <sheetData>
    <row r="1" spans="1:8" ht="15">
      <c r="A1" s="3" t="s">
        <v>1</v>
      </c>
      <c r="B1" s="3" t="s">
        <v>7</v>
      </c>
      <c r="C1" s="1"/>
      <c r="D1" s="3" t="s">
        <v>0</v>
      </c>
      <c r="E1" s="3" t="s">
        <v>1</v>
      </c>
      <c r="F1" s="3" t="s">
        <v>2</v>
      </c>
      <c r="G1" s="3" t="s">
        <v>3</v>
      </c>
      <c r="H1" s="3" t="s">
        <v>10</v>
      </c>
    </row>
    <row r="2" spans="1:8" ht="15.75">
      <c r="A2" s="3" t="s">
        <v>4</v>
      </c>
      <c r="B2" s="3">
        <v>100000</v>
      </c>
      <c r="C2" s="1"/>
      <c r="D2" s="4" t="s">
        <v>12</v>
      </c>
      <c r="E2" s="3" t="str" cm="1">
        <f t="array" aca="1" ref="E2" ca="1">INDEX($A$2:$A$6, RANDBETWEEN(1, 5))</f>
        <v>Бариста</v>
      </c>
      <c r="F2" s="1">
        <f ca="1">[1]Январь1!F2 + RANDBETWEEN(-5000, 5000)</f>
        <v>3299</v>
      </c>
      <c r="G2" s="1">
        <f ca="1">RANDBETWEEN(5000, 19000)</f>
        <v>13510</v>
      </c>
      <c r="H2" s="1">
        <f ca="1">F2+G2</f>
        <v>16809</v>
      </c>
    </row>
    <row r="3" spans="1:8" ht="15.75">
      <c r="A3" s="3" t="s">
        <v>8</v>
      </c>
      <c r="B3" s="3">
        <v>60000</v>
      </c>
      <c r="C3" s="1"/>
      <c r="D3" s="4" t="s">
        <v>11</v>
      </c>
      <c r="E3" s="3" t="str" cm="1">
        <f t="array" aca="1" ref="E3" ca="1">INDEX($A$2:$A$6, RANDBETWEEN(1, 5))</f>
        <v>Бариста</v>
      </c>
      <c r="F3" s="1">
        <f ca="1">[1]Январь1!F3 + RANDBETWEEN(-5000, 5000)</f>
        <v>-3609</v>
      </c>
      <c r="G3" s="1">
        <f t="shared" ref="G3:G31" ca="1" si="0">RANDBETWEEN(5000, 19000)</f>
        <v>14457</v>
      </c>
      <c r="H3" s="1">
        <f t="shared" ref="H3:H31" ca="1" si="1">F3+G3</f>
        <v>10848</v>
      </c>
    </row>
    <row r="4" spans="1:8" ht="15.75">
      <c r="A4" s="3" t="s">
        <v>5</v>
      </c>
      <c r="B4" s="3">
        <v>45000</v>
      </c>
      <c r="C4" s="1"/>
      <c r="D4" s="4" t="s">
        <v>13</v>
      </c>
      <c r="E4" s="3" t="str" cm="1">
        <f t="array" aca="1" ref="E4" ca="1">INDEX($A$2:$A$6, RANDBETWEEN(1, 5))</f>
        <v>Директор</v>
      </c>
      <c r="F4" s="1">
        <f ca="1">[1]Январь1!F4 + RANDBETWEEN(-5000, 5000)</f>
        <v>-7226</v>
      </c>
      <c r="G4" s="1">
        <f t="shared" ca="1" si="0"/>
        <v>14849</v>
      </c>
      <c r="H4" s="1">
        <f t="shared" ca="1" si="1"/>
        <v>7623</v>
      </c>
    </row>
    <row r="5" spans="1:8" ht="15.75">
      <c r="A5" s="3" t="s">
        <v>9</v>
      </c>
      <c r="B5" s="3">
        <v>40000</v>
      </c>
      <c r="C5" s="1"/>
      <c r="D5" s="4" t="s">
        <v>14</v>
      </c>
      <c r="E5" s="3" t="str" cm="1">
        <f t="array" aca="1" ref="E5" ca="1">INDEX($A$2:$A$6, RANDBETWEEN(1, 5))</f>
        <v>Кассир</v>
      </c>
      <c r="F5" s="1">
        <f ca="1">[1]Январь1!F2 + RANDBETWEEN(-5000, 5000)</f>
        <v>2269</v>
      </c>
      <c r="G5" s="1">
        <f t="shared" ca="1" si="0"/>
        <v>7848</v>
      </c>
      <c r="H5" s="1">
        <f t="shared" ca="1" si="1"/>
        <v>10117</v>
      </c>
    </row>
    <row r="6" spans="1:8" ht="15.75">
      <c r="A6" s="3" t="s">
        <v>6</v>
      </c>
      <c r="B6" s="3">
        <v>30000</v>
      </c>
      <c r="C6" s="1"/>
      <c r="D6" s="4" t="s">
        <v>15</v>
      </c>
      <c r="E6" s="3" t="str" cm="1">
        <f t="array" aca="1" ref="E6" ca="1">INDEX($A$2:$A$6, RANDBETWEEN(1, 5))</f>
        <v>Менджер</v>
      </c>
      <c r="F6" s="1">
        <f ca="1">[1]Январь1!F4 + RANDBETWEEN(-5000, 5000)</f>
        <v>-882</v>
      </c>
      <c r="G6" s="1">
        <f t="shared" ca="1" si="0"/>
        <v>11039</v>
      </c>
      <c r="H6" s="1">
        <f t="shared" ca="1" si="1"/>
        <v>10157</v>
      </c>
    </row>
    <row r="7" spans="1:8" ht="15.75">
      <c r="A7" s="1"/>
      <c r="B7" s="1"/>
      <c r="C7" s="1"/>
      <c r="D7" s="4" t="s">
        <v>16</v>
      </c>
      <c r="E7" s="3" t="str" cm="1">
        <f t="array" aca="1" ref="E7" ca="1">INDEX($A$2:$A$6, RANDBETWEEN(1, 5))</f>
        <v>Бариста</v>
      </c>
      <c r="F7" s="1">
        <f ca="1">[1]Январь1!F7 + RANDBETWEEN(-5000, 5000)</f>
        <v>61543</v>
      </c>
      <c r="G7" s="1">
        <f t="shared" ca="1" si="0"/>
        <v>11372</v>
      </c>
      <c r="H7" s="1">
        <f t="shared" ca="1" si="1"/>
        <v>72915</v>
      </c>
    </row>
    <row r="8" spans="1:8" ht="15.75">
      <c r="A8" s="1"/>
      <c r="B8" s="1"/>
      <c r="C8" s="1"/>
      <c r="D8" s="4" t="s">
        <v>17</v>
      </c>
      <c r="E8" s="3" t="str" cm="1">
        <f t="array" aca="1" ref="E8" ca="1">INDEX($A$2:$A$6, RANDBETWEEN(1, 5))</f>
        <v>Кассир</v>
      </c>
      <c r="F8" s="1">
        <f ca="1">[1]Январь1!F8 + RANDBETWEEN(-5000, 5000)</f>
        <v>42626</v>
      </c>
      <c r="G8" s="1">
        <f t="shared" ca="1" si="0"/>
        <v>10811</v>
      </c>
      <c r="H8" s="1">
        <f t="shared" ca="1" si="1"/>
        <v>53437</v>
      </c>
    </row>
    <row r="9" spans="1:8" ht="15.75">
      <c r="A9" s="1"/>
      <c r="B9" s="1"/>
      <c r="C9" s="1"/>
      <c r="D9" s="4" t="s">
        <v>18</v>
      </c>
      <c r="E9" s="3" t="str" cm="1">
        <f t="array" aca="1" ref="E9" ca="1">INDEX($A$2:$A$6, RANDBETWEEN(1, 5))</f>
        <v>Уборщик</v>
      </c>
      <c r="F9" s="1">
        <f ca="1">[1]Январь1!F9 + RANDBETWEEN(-5000, 5000)</f>
        <v>48902</v>
      </c>
      <c r="G9" s="1">
        <f t="shared" ca="1" si="0"/>
        <v>15225</v>
      </c>
      <c r="H9" s="1">
        <f t="shared" ca="1" si="1"/>
        <v>64127</v>
      </c>
    </row>
    <row r="10" spans="1:8" ht="15.75">
      <c r="A10" s="1"/>
      <c r="B10" s="1"/>
      <c r="C10" s="1"/>
      <c r="D10" s="4" t="s">
        <v>19</v>
      </c>
      <c r="E10" s="3" t="str" cm="1">
        <f t="array" aca="1" ref="E10" ca="1">INDEX($A$2:$A$6, RANDBETWEEN(1, 5))</f>
        <v>Уборщик</v>
      </c>
      <c r="F10" s="1">
        <f ca="1">[1]Январь1!F10 + RANDBETWEEN(-5000, 5000)</f>
        <v>42354</v>
      </c>
      <c r="G10" s="1">
        <f t="shared" ca="1" si="0"/>
        <v>12452</v>
      </c>
      <c r="H10" s="1">
        <f t="shared" ca="1" si="1"/>
        <v>54806</v>
      </c>
    </row>
    <row r="11" spans="1:8" ht="15.75">
      <c r="A11" s="1"/>
      <c r="B11" s="1"/>
      <c r="C11" s="1"/>
      <c r="D11" s="4" t="s">
        <v>20</v>
      </c>
      <c r="E11" s="3" t="str" cm="1">
        <f t="array" aca="1" ref="E11" ca="1">INDEX($A$2:$A$6, RANDBETWEEN(1, 5))</f>
        <v>Кассир</v>
      </c>
      <c r="F11" s="1">
        <f ca="1">[1]Январь1!F11 + RANDBETWEEN(-5000, 5000)</f>
        <v>42512</v>
      </c>
      <c r="G11" s="1">
        <f t="shared" ca="1" si="0"/>
        <v>6031</v>
      </c>
      <c r="H11" s="1">
        <f t="shared" ca="1" si="1"/>
        <v>48543</v>
      </c>
    </row>
    <row r="12" spans="1:8" ht="15.75">
      <c r="A12" s="1"/>
      <c r="B12" s="1"/>
      <c r="C12" s="1"/>
      <c r="D12" s="4" t="s">
        <v>22</v>
      </c>
      <c r="E12" s="3" t="str" cm="1">
        <f t="array" aca="1" ref="E12" ca="1">INDEX($A$2:$A$6, RANDBETWEEN(1, 5))</f>
        <v>Бариста</v>
      </c>
      <c r="F12" s="1">
        <f ca="1">[1]Январь1!F12 + RANDBETWEEN(-5000, 5000)</f>
        <v>32644</v>
      </c>
      <c r="G12" s="1">
        <f t="shared" ca="1" si="0"/>
        <v>15219</v>
      </c>
      <c r="H12" s="1">
        <f t="shared" ca="1" si="1"/>
        <v>47863</v>
      </c>
    </row>
    <row r="13" spans="1:8" ht="15.75">
      <c r="A13" s="1"/>
      <c r="B13" s="1"/>
      <c r="C13" s="1"/>
      <c r="D13" s="4" t="s">
        <v>21</v>
      </c>
      <c r="E13" s="3" t="str" cm="1">
        <f t="array" aca="1" ref="E13" ca="1">INDEX($A$2:$A$6, RANDBETWEEN(1, 5))</f>
        <v>Директор</v>
      </c>
      <c r="F13" s="1">
        <f ca="1">[1]Январь1!F13 + RANDBETWEEN(-5000, 5000)</f>
        <v>30412</v>
      </c>
      <c r="G13" s="1">
        <f t="shared" ca="1" si="0"/>
        <v>17327</v>
      </c>
      <c r="H13" s="1">
        <f t="shared" ca="1" si="1"/>
        <v>47739</v>
      </c>
    </row>
    <row r="14" spans="1:8" ht="15.75">
      <c r="A14" s="1"/>
      <c r="B14" s="1"/>
      <c r="C14" s="1"/>
      <c r="D14" s="4" t="s">
        <v>23</v>
      </c>
      <c r="E14" s="3" t="str" cm="1">
        <f t="array" aca="1" ref="E14" ca="1">INDEX($A$2:$A$6, RANDBETWEEN(1, 5))</f>
        <v>Уборщик</v>
      </c>
      <c r="F14" s="1">
        <f ca="1">[1]Январь1!F14 + RANDBETWEEN(-5000, 5000)</f>
        <v>100929</v>
      </c>
      <c r="G14" s="1">
        <f t="shared" ca="1" si="0"/>
        <v>6362</v>
      </c>
      <c r="H14" s="1">
        <f t="shared" ca="1" si="1"/>
        <v>107291</v>
      </c>
    </row>
    <row r="15" spans="1:8" ht="15.75">
      <c r="A15" s="1"/>
      <c r="B15" s="1"/>
      <c r="C15" s="1"/>
      <c r="D15" s="4" t="s">
        <v>24</v>
      </c>
      <c r="E15" s="3" t="str" cm="1">
        <f t="array" aca="1" ref="E15" ca="1">INDEX($A$2:$A$6, RANDBETWEEN(1, 5))</f>
        <v>Директор</v>
      </c>
      <c r="F15" s="1">
        <f ca="1">[1]Январь1!F15 + RANDBETWEEN(-5000, 5000)</f>
        <v>45717</v>
      </c>
      <c r="G15" s="1">
        <f t="shared" ca="1" si="0"/>
        <v>11243</v>
      </c>
      <c r="H15" s="1">
        <f t="shared" ca="1" si="1"/>
        <v>56960</v>
      </c>
    </row>
    <row r="16" spans="1:8" ht="15.75">
      <c r="A16" s="1"/>
      <c r="B16" s="1"/>
      <c r="C16" s="1"/>
      <c r="D16" s="4" t="s">
        <v>25</v>
      </c>
      <c r="E16" s="3" t="str" cm="1">
        <f t="array" aca="1" ref="E16" ca="1">INDEX($A$2:$A$6, RANDBETWEEN(1, 5))</f>
        <v>Менджер</v>
      </c>
      <c r="F16" s="1">
        <f ca="1">[1]Январь1!F16 + RANDBETWEEN(-5000, 5000)</f>
        <v>42158</v>
      </c>
      <c r="G16" s="1">
        <f t="shared" ca="1" si="0"/>
        <v>7159</v>
      </c>
      <c r="H16" s="1">
        <f t="shared" ca="1" si="1"/>
        <v>49317</v>
      </c>
    </row>
    <row r="17" spans="1:8" ht="15.75">
      <c r="A17" s="1"/>
      <c r="B17" s="1"/>
      <c r="C17" s="1"/>
      <c r="D17" s="4" t="s">
        <v>26</v>
      </c>
      <c r="E17" s="3" t="str" cm="1">
        <f t="array" aca="1" ref="E17" ca="1">INDEX($A$2:$A$6, RANDBETWEEN(1, 5))</f>
        <v>Менджер</v>
      </c>
      <c r="F17" s="1">
        <f ca="1">[1]Январь1!F17 + RANDBETWEEN(-5000, 5000)</f>
        <v>52996</v>
      </c>
      <c r="G17" s="1">
        <f t="shared" ca="1" si="0"/>
        <v>12097</v>
      </c>
      <c r="H17" s="1">
        <f t="shared" ca="1" si="1"/>
        <v>65093</v>
      </c>
    </row>
    <row r="18" spans="1:8" ht="15.75">
      <c r="A18" s="1"/>
      <c r="B18" s="1"/>
      <c r="C18" s="1"/>
      <c r="D18" s="4" t="s">
        <v>27</v>
      </c>
      <c r="E18" s="3" t="str" cm="1">
        <f t="array" aca="1" ref="E18" ca="1">INDEX($A$2:$A$6, RANDBETWEEN(1, 5))</f>
        <v>Кассир</v>
      </c>
      <c r="F18" s="1">
        <f ca="1">[1]Январь1!F18 + RANDBETWEEN(-5000, 5000)</f>
        <v>95025</v>
      </c>
      <c r="G18" s="1">
        <f t="shared" ca="1" si="0"/>
        <v>12139</v>
      </c>
      <c r="H18" s="1">
        <f t="shared" ca="1" si="1"/>
        <v>107164</v>
      </c>
    </row>
    <row r="19" spans="1:8" ht="15.75">
      <c r="A19" s="1"/>
      <c r="B19" s="1"/>
      <c r="C19" s="1"/>
      <c r="D19" s="4" t="s">
        <v>28</v>
      </c>
      <c r="E19" s="3" t="str" cm="1">
        <f t="array" aca="1" ref="E19" ca="1">INDEX($A$2:$A$6, RANDBETWEEN(1, 5))</f>
        <v>Бариста</v>
      </c>
      <c r="F19" s="1">
        <f ca="1">[1]Январь1!F19 + RANDBETWEEN(-5000, 5000)</f>
        <v>93229</v>
      </c>
      <c r="G19" s="1">
        <f t="shared" ca="1" si="0"/>
        <v>8805</v>
      </c>
      <c r="H19" s="1">
        <f t="shared" ca="1" si="1"/>
        <v>102034</v>
      </c>
    </row>
    <row r="20" spans="1:8" ht="15.75">
      <c r="A20" s="1"/>
      <c r="B20" s="1"/>
      <c r="C20" s="1"/>
      <c r="D20" s="4" t="s">
        <v>29</v>
      </c>
      <c r="E20" s="3" t="str" cm="1">
        <f t="array" aca="1" ref="E20" ca="1">INDEX($A$2:$A$6, RANDBETWEEN(1, 5))</f>
        <v>Менджер</v>
      </c>
      <c r="F20" s="1">
        <f ca="1">[1]Январь1!F20 + RANDBETWEEN(-5000, 5000)</f>
        <v>35880</v>
      </c>
      <c r="G20" s="1">
        <f t="shared" ca="1" si="0"/>
        <v>16497</v>
      </c>
      <c r="H20" s="1">
        <f t="shared" ca="1" si="1"/>
        <v>52377</v>
      </c>
    </row>
    <row r="21" spans="1:8" ht="15.75">
      <c r="A21" s="1"/>
      <c r="B21" s="1"/>
      <c r="C21" s="1"/>
      <c r="D21" s="4" t="s">
        <v>30</v>
      </c>
      <c r="E21" s="3" t="str" cm="1">
        <f t="array" aca="1" ref="E21" ca="1">INDEX($A$2:$A$6, RANDBETWEEN(1, 5))</f>
        <v>Менджер</v>
      </c>
      <c r="F21" s="1">
        <f ca="1">[1]Январь1!F21 + RANDBETWEEN(-5000, 5000)</f>
        <v>41965</v>
      </c>
      <c r="G21" s="1">
        <f t="shared" ca="1" si="0"/>
        <v>6343</v>
      </c>
      <c r="H21" s="1">
        <f t="shared" ca="1" si="1"/>
        <v>48308</v>
      </c>
    </row>
    <row r="22" spans="1:8" ht="15.75">
      <c r="A22" s="1"/>
      <c r="B22" s="1"/>
      <c r="C22" s="1"/>
      <c r="D22" s="4" t="s">
        <v>31</v>
      </c>
      <c r="E22" s="3" t="str" cm="1">
        <f t="array" aca="1" ref="E22" ca="1">INDEX($A$2:$A$6, RANDBETWEEN(1, 5))</f>
        <v>Менджер</v>
      </c>
      <c r="F22" s="1">
        <f ca="1">[1]Январь1!F22 + RANDBETWEEN(-5000, 5000)</f>
        <v>40146</v>
      </c>
      <c r="G22" s="1">
        <f t="shared" ca="1" si="0"/>
        <v>12695</v>
      </c>
      <c r="H22" s="1">
        <f t="shared" ca="1" si="1"/>
        <v>52841</v>
      </c>
    </row>
    <row r="23" spans="1:8" ht="15.75">
      <c r="A23" s="1"/>
      <c r="B23" s="1"/>
      <c r="C23" s="1"/>
      <c r="D23" s="4" t="s">
        <v>32</v>
      </c>
      <c r="E23" s="3" t="str" cm="1">
        <f t="array" aca="1" ref="E23" ca="1">INDEX($A$2:$A$6, RANDBETWEEN(1, 5))</f>
        <v>Менджер</v>
      </c>
      <c r="F23" s="1">
        <f ca="1">[1]Январь1!F23 + RANDBETWEEN(-5000, 5000)</f>
        <v>52234</v>
      </c>
      <c r="G23" s="1">
        <f t="shared" ca="1" si="0"/>
        <v>15461</v>
      </c>
      <c r="H23" s="1">
        <f t="shared" ca="1" si="1"/>
        <v>67695</v>
      </c>
    </row>
    <row r="24" spans="1:8" ht="15.75">
      <c r="A24" s="1"/>
      <c r="B24" s="1"/>
      <c r="C24" s="1"/>
      <c r="D24" s="4" t="s">
        <v>33</v>
      </c>
      <c r="E24" s="3" t="str" cm="1">
        <f t="array" aca="1" ref="E24" ca="1">INDEX($A$2:$A$6, RANDBETWEEN(1, 5))</f>
        <v>Менджер</v>
      </c>
      <c r="F24" s="1">
        <f ca="1">[1]Январь1!F24 + RANDBETWEEN(-5000, 5000)</f>
        <v>44963</v>
      </c>
      <c r="G24" s="1">
        <f t="shared" ca="1" si="0"/>
        <v>15158</v>
      </c>
      <c r="H24" s="1">
        <f t="shared" ca="1" si="1"/>
        <v>60121</v>
      </c>
    </row>
    <row r="25" spans="1:8" ht="15.75">
      <c r="A25" s="1"/>
      <c r="B25" s="1"/>
      <c r="C25" s="1"/>
      <c r="D25" s="4" t="s">
        <v>34</v>
      </c>
      <c r="E25" s="3" t="str" cm="1">
        <f t="array" aca="1" ref="E25" ca="1">INDEX($A$2:$A$6, RANDBETWEEN(1, 5))</f>
        <v>Уборщик</v>
      </c>
      <c r="F25" s="1">
        <f ca="1">[1]Январь1!F25 + RANDBETWEEN(-5000, 5000)</f>
        <v>64221</v>
      </c>
      <c r="G25" s="1">
        <f t="shared" ca="1" si="0"/>
        <v>8179</v>
      </c>
      <c r="H25" s="1">
        <f t="shared" ca="1" si="1"/>
        <v>72400</v>
      </c>
    </row>
    <row r="26" spans="1:8" ht="15.75">
      <c r="A26" s="1"/>
      <c r="B26" s="1"/>
      <c r="C26" s="1"/>
      <c r="D26" s="4" t="s">
        <v>35</v>
      </c>
      <c r="E26" s="3" t="str" cm="1">
        <f t="array" aca="1" ref="E26" ca="1">INDEX($A$2:$A$6, RANDBETWEEN(1, 5))</f>
        <v>Кассир</v>
      </c>
      <c r="F26" s="1">
        <f ca="1">[1]Январь1!F26 + RANDBETWEEN(-5000, 5000)</f>
        <v>31238</v>
      </c>
      <c r="G26" s="1">
        <f t="shared" ca="1" si="0"/>
        <v>5944</v>
      </c>
      <c r="H26" s="1">
        <f t="shared" ca="1" si="1"/>
        <v>37182</v>
      </c>
    </row>
    <row r="27" spans="1:8" ht="15.75">
      <c r="A27" s="1"/>
      <c r="B27" s="1"/>
      <c r="C27" s="1"/>
      <c r="D27" s="4" t="s">
        <v>36</v>
      </c>
      <c r="E27" s="3" t="str" cm="1">
        <f t="array" aca="1" ref="E27" ca="1">INDEX($A$2:$A$6, RANDBETWEEN(1, 5))</f>
        <v>Менджер</v>
      </c>
      <c r="F27" s="1">
        <f ca="1">[1]Январь1!F27 + RANDBETWEEN(-5000, 5000)</f>
        <v>59062</v>
      </c>
      <c r="G27" s="1">
        <f t="shared" ca="1" si="0"/>
        <v>18476</v>
      </c>
      <c r="H27" s="1">
        <f t="shared" ca="1" si="1"/>
        <v>77538</v>
      </c>
    </row>
    <row r="28" spans="1:8" ht="15.75">
      <c r="A28" s="1"/>
      <c r="B28" s="1"/>
      <c r="C28" s="1"/>
      <c r="D28" s="4" t="s">
        <v>37</v>
      </c>
      <c r="E28" s="3" t="str" cm="1">
        <f t="array" aca="1" ref="E28" ca="1">INDEX($A$2:$A$6, RANDBETWEEN(1, 5))</f>
        <v>Уборщик</v>
      </c>
      <c r="F28" s="1">
        <f ca="1">[1]Январь1!F28 + RANDBETWEEN(-5000, 5000)</f>
        <v>36255</v>
      </c>
      <c r="G28" s="1">
        <f t="shared" ca="1" si="0"/>
        <v>7606</v>
      </c>
      <c r="H28" s="1">
        <f t="shared" ca="1" si="1"/>
        <v>43861</v>
      </c>
    </row>
    <row r="29" spans="1:8" ht="15.75">
      <c r="A29" s="1"/>
      <c r="B29" s="1"/>
      <c r="C29" s="1"/>
      <c r="D29" s="4" t="s">
        <v>38</v>
      </c>
      <c r="E29" s="3" t="str" cm="1">
        <f t="array" aca="1" ref="E29" ca="1">INDEX($A$2:$A$6, RANDBETWEEN(1, 5))</f>
        <v>Директор</v>
      </c>
      <c r="F29" s="1">
        <f ca="1">[1]Январь1!F29 + RANDBETWEEN(-5000, 5000)</f>
        <v>24223</v>
      </c>
      <c r="G29" s="1">
        <f t="shared" ca="1" si="0"/>
        <v>8233</v>
      </c>
      <c r="H29" s="1">
        <f t="shared" ca="1" si="1"/>
        <v>32456</v>
      </c>
    </row>
    <row r="30" spans="1:8" ht="15.75">
      <c r="A30" s="1"/>
      <c r="B30" s="1"/>
      <c r="C30" s="1"/>
      <c r="D30" s="4" t="s">
        <v>39</v>
      </c>
      <c r="E30" s="3" t="str" cm="1">
        <f t="array" aca="1" ref="E30" ca="1">INDEX($A$2:$A$6, RANDBETWEEN(1, 5))</f>
        <v>Бариста</v>
      </c>
      <c r="F30" s="1">
        <f ca="1">[1]Январь1!F30 + RANDBETWEEN(-5000, 5000)</f>
        <v>62407</v>
      </c>
      <c r="G30" s="1">
        <f t="shared" ca="1" si="0"/>
        <v>6900</v>
      </c>
      <c r="H30" s="1">
        <f t="shared" ca="1" si="1"/>
        <v>69307</v>
      </c>
    </row>
    <row r="31" spans="1:8" ht="15.75">
      <c r="A31" s="1"/>
      <c r="B31" s="1"/>
      <c r="C31" s="1"/>
      <c r="D31" s="4" t="s">
        <v>40</v>
      </c>
      <c r="E31" s="3" t="str" cm="1">
        <f t="array" aca="1" ref="E31" ca="1">INDEX($A$2:$A$6, RANDBETWEEN(1, 5))</f>
        <v>Менджер</v>
      </c>
      <c r="F31" s="1">
        <f ca="1">[1]Январь1!F31 + RANDBETWEEN(-5000, 5000)</f>
        <v>55241</v>
      </c>
      <c r="G31" s="1">
        <f t="shared" ca="1" si="0"/>
        <v>18495</v>
      </c>
      <c r="H31" s="1">
        <f t="shared" ca="1" si="1"/>
        <v>73736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43EF-4E00-41E6-9EA6-A8F26FF839AB}">
  <dimension ref="A1:H31"/>
  <sheetViews>
    <sheetView topLeftCell="A14" workbookViewId="0">
      <selection activeCell="G2" sqref="G2:G31"/>
    </sheetView>
  </sheetViews>
  <sheetFormatPr defaultRowHeight="14.25"/>
  <cols>
    <col min="3" max="3" width="0.125" customWidth="1"/>
    <col min="4" max="4" width="36.625" customWidth="1"/>
    <col min="8" max="8" width="16" customWidth="1"/>
  </cols>
  <sheetData>
    <row r="1" spans="1:8" ht="15">
      <c r="A1" s="3" t="s">
        <v>1</v>
      </c>
      <c r="B1" s="3" t="s">
        <v>7</v>
      </c>
      <c r="C1" s="1"/>
      <c r="D1" s="3" t="s">
        <v>0</v>
      </c>
      <c r="E1" s="3" t="s">
        <v>1</v>
      </c>
      <c r="F1" s="3" t="s">
        <v>2</v>
      </c>
      <c r="G1" s="3" t="s">
        <v>3</v>
      </c>
      <c r="H1" s="3" t="s">
        <v>10</v>
      </c>
    </row>
    <row r="2" spans="1:8" ht="15.75">
      <c r="A2" s="3" t="s">
        <v>4</v>
      </c>
      <c r="B2" s="3">
        <v>100000</v>
      </c>
      <c r="C2" s="1"/>
      <c r="D2" s="4" t="s">
        <v>12</v>
      </c>
      <c r="E2" s="3" t="str" cm="1">
        <f t="array" aca="1" ref="E2" ca="1">INDEX($A$2:$A$6, RANDBETWEEN(1, 5))</f>
        <v>Менджер</v>
      </c>
      <c r="F2" s="1">
        <f ca="1">[1]Январь1!F2 + RANDBETWEEN(-5000, 5000)</f>
        <v>2324</v>
      </c>
      <c r="G2" s="1">
        <f ca="1">RANDBETWEEN(5000, 17000)</f>
        <v>7630</v>
      </c>
      <c r="H2" s="1">
        <f ca="1">F2+G2</f>
        <v>9954</v>
      </c>
    </row>
    <row r="3" spans="1:8" ht="15.75">
      <c r="A3" s="3" t="s">
        <v>8</v>
      </c>
      <c r="B3" s="3">
        <v>60000</v>
      </c>
      <c r="C3" s="1"/>
      <c r="D3" s="4" t="s">
        <v>11</v>
      </c>
      <c r="E3" s="3" t="str" cm="1">
        <f t="array" aca="1" ref="E3" ca="1">INDEX($A$2:$A$6, RANDBETWEEN(1, 5))</f>
        <v>Кассир</v>
      </c>
      <c r="F3" s="1">
        <f ca="1">[1]Январь1!F3 + RANDBETWEEN(-5000, 5000)</f>
        <v>-841</v>
      </c>
      <c r="G3" s="1">
        <f t="shared" ref="G3:G31" ca="1" si="0">RANDBETWEEN(5000, 17000)</f>
        <v>10816</v>
      </c>
      <c r="H3" s="1">
        <f t="shared" ref="H3:H31" ca="1" si="1">F3+G3</f>
        <v>9975</v>
      </c>
    </row>
    <row r="4" spans="1:8" ht="15.75">
      <c r="A4" s="3" t="s">
        <v>5</v>
      </c>
      <c r="B4" s="3">
        <v>45000</v>
      </c>
      <c r="C4" s="1"/>
      <c r="D4" s="4" t="s">
        <v>13</v>
      </c>
      <c r="E4" s="3" t="str" cm="1">
        <f t="array" aca="1" ref="E4" ca="1">INDEX($A$2:$A$6, RANDBETWEEN(1, 5))</f>
        <v>Уборщик</v>
      </c>
      <c r="F4" s="1">
        <f ca="1">[1]Январь1!F6 + RANDBETWEEN(-5000, 5000)</f>
        <v>-484</v>
      </c>
      <c r="G4" s="1">
        <f t="shared" ca="1" si="0"/>
        <v>11021</v>
      </c>
      <c r="H4" s="1">
        <f t="shared" ca="1" si="1"/>
        <v>10537</v>
      </c>
    </row>
    <row r="5" spans="1:8" ht="15.75">
      <c r="A5" s="3" t="s">
        <v>9</v>
      </c>
      <c r="B5" s="3">
        <v>40000</v>
      </c>
      <c r="C5" s="1"/>
      <c r="D5" s="4" t="s">
        <v>14</v>
      </c>
      <c r="E5" s="3" t="str" cm="1">
        <f t="array" aca="1" ref="E5" ca="1">INDEX($A$2:$A$6, RANDBETWEEN(1, 5))</f>
        <v>Бариста</v>
      </c>
      <c r="F5" s="1">
        <f ca="1">[1]Январь1!F2 + RANDBETWEEN(-5000, 5000)</f>
        <v>3537</v>
      </c>
      <c r="G5" s="1">
        <f t="shared" ca="1" si="0"/>
        <v>13512</v>
      </c>
      <c r="H5" s="1">
        <f t="shared" ca="1" si="1"/>
        <v>17049</v>
      </c>
    </row>
    <row r="6" spans="1:8" ht="15.75">
      <c r="A6" s="3" t="s">
        <v>6</v>
      </c>
      <c r="B6" s="3">
        <v>30000</v>
      </c>
      <c r="C6" s="1"/>
      <c r="D6" s="4" t="s">
        <v>15</v>
      </c>
      <c r="E6" s="3" t="str" cm="1">
        <f t="array" aca="1" ref="E6" ca="1">INDEX($A$2:$A$6, RANDBETWEEN(1, 5))</f>
        <v>Менджер</v>
      </c>
      <c r="F6" s="1">
        <f ca="1">[1]Январь1!F6 + RANDBETWEEN(-5000, 5000)</f>
        <v>-2375</v>
      </c>
      <c r="G6" s="1">
        <f t="shared" ca="1" si="0"/>
        <v>13572</v>
      </c>
      <c r="H6" s="1">
        <f t="shared" ca="1" si="1"/>
        <v>11197</v>
      </c>
    </row>
    <row r="7" spans="1:8" ht="15.75">
      <c r="A7" s="1"/>
      <c r="B7" s="1"/>
      <c r="C7" s="1"/>
      <c r="D7" s="4" t="s">
        <v>16</v>
      </c>
      <c r="E7" s="3" t="str" cm="1">
        <f t="array" aca="1" ref="E7" ca="1">INDEX($A$2:$A$6, RANDBETWEEN(1, 5))</f>
        <v>Уборщик</v>
      </c>
      <c r="F7" s="1">
        <f ca="1">[1]Январь1!F7 + RANDBETWEEN(-5000, 5000)</f>
        <v>54536</v>
      </c>
      <c r="G7" s="1">
        <f t="shared" ca="1" si="0"/>
        <v>11920</v>
      </c>
      <c r="H7" s="1">
        <f t="shared" ca="1" si="1"/>
        <v>66456</v>
      </c>
    </row>
    <row r="8" spans="1:8" ht="15.75">
      <c r="A8" s="1"/>
      <c r="B8" s="1"/>
      <c r="C8" s="1"/>
      <c r="D8" s="4" t="s">
        <v>17</v>
      </c>
      <c r="E8" s="3" t="str" cm="1">
        <f t="array" aca="1" ref="E8" ca="1">INDEX($A$2:$A$6, RANDBETWEEN(1, 5))</f>
        <v>Бариста</v>
      </c>
      <c r="F8" s="1">
        <f ca="1">[1]Январь1!F8 + RANDBETWEEN(-5000, 5000)</f>
        <v>46016</v>
      </c>
      <c r="G8" s="1">
        <f t="shared" ca="1" si="0"/>
        <v>7942</v>
      </c>
      <c r="H8" s="1">
        <f t="shared" ca="1" si="1"/>
        <v>53958</v>
      </c>
    </row>
    <row r="9" spans="1:8" ht="15.75">
      <c r="A9" s="1"/>
      <c r="B9" s="1"/>
      <c r="C9" s="1"/>
      <c r="D9" s="4" t="s">
        <v>18</v>
      </c>
      <c r="E9" s="3" t="str" cm="1">
        <f t="array" aca="1" ref="E9" ca="1">INDEX($A$2:$A$6, RANDBETWEEN(1, 5))</f>
        <v>Бариста</v>
      </c>
      <c r="F9" s="1">
        <f ca="1">[1]Январь1!F9 + RANDBETWEEN(-5000, 5000)</f>
        <v>48766</v>
      </c>
      <c r="G9" s="1">
        <f t="shared" ca="1" si="0"/>
        <v>9547</v>
      </c>
      <c r="H9" s="1">
        <f t="shared" ca="1" si="1"/>
        <v>58313</v>
      </c>
    </row>
    <row r="10" spans="1:8" ht="15.75">
      <c r="A10" s="1"/>
      <c r="B10" s="1"/>
      <c r="C10" s="1"/>
      <c r="D10" s="4" t="s">
        <v>19</v>
      </c>
      <c r="E10" s="3" t="str" cm="1">
        <f t="array" aca="1" ref="E10" ca="1">INDEX($A$2:$A$6, RANDBETWEEN(1, 5))</f>
        <v>Бариста</v>
      </c>
      <c r="F10" s="1">
        <f ca="1">[1]Январь1!F10 + RANDBETWEEN(-5000, 5000)</f>
        <v>46617</v>
      </c>
      <c r="G10" s="1">
        <f t="shared" ca="1" si="0"/>
        <v>11326</v>
      </c>
      <c r="H10" s="1">
        <f t="shared" ca="1" si="1"/>
        <v>57943</v>
      </c>
    </row>
    <row r="11" spans="1:8" ht="15.75">
      <c r="A11" s="1"/>
      <c r="B11" s="1"/>
      <c r="C11" s="1"/>
      <c r="D11" s="4" t="s">
        <v>20</v>
      </c>
      <c r="E11" s="3" t="str" cm="1">
        <f t="array" aca="1" ref="E11" ca="1">INDEX($A$2:$A$6, RANDBETWEEN(1, 5))</f>
        <v>Менджер</v>
      </c>
      <c r="F11" s="1">
        <f ca="1">[1]Январь1!F11 + RANDBETWEEN(-5000, 5000)</f>
        <v>44721</v>
      </c>
      <c r="G11" s="1">
        <f t="shared" ca="1" si="0"/>
        <v>12276</v>
      </c>
      <c r="H11" s="1">
        <f t="shared" ca="1" si="1"/>
        <v>56997</v>
      </c>
    </row>
    <row r="12" spans="1:8" ht="15.75">
      <c r="A12" s="1"/>
      <c r="B12" s="1"/>
      <c r="C12" s="1"/>
      <c r="D12" s="4" t="s">
        <v>22</v>
      </c>
      <c r="E12" s="3" t="str" cm="1">
        <f t="array" aca="1" ref="E12" ca="1">INDEX($A$2:$A$6, RANDBETWEEN(1, 5))</f>
        <v>Менджер</v>
      </c>
      <c r="F12" s="1">
        <f ca="1">[1]Январь1!F12 + RANDBETWEEN(-5000, 5000)</f>
        <v>33036</v>
      </c>
      <c r="G12" s="1">
        <f t="shared" ca="1" si="0"/>
        <v>6488</v>
      </c>
      <c r="H12" s="1">
        <f t="shared" ca="1" si="1"/>
        <v>39524</v>
      </c>
    </row>
    <row r="13" spans="1:8" ht="15.75">
      <c r="A13" s="1"/>
      <c r="B13" s="1"/>
      <c r="C13" s="1"/>
      <c r="D13" s="4" t="s">
        <v>21</v>
      </c>
      <c r="E13" s="3" t="str" cm="1">
        <f t="array" aca="1" ref="E13" ca="1">INDEX($A$2:$A$6, RANDBETWEEN(1, 5))</f>
        <v>Директор</v>
      </c>
      <c r="F13" s="1">
        <f ca="1">[1]Январь1!F13 + RANDBETWEEN(-5000, 5000)</f>
        <v>26664</v>
      </c>
      <c r="G13" s="1">
        <f t="shared" ca="1" si="0"/>
        <v>12059</v>
      </c>
      <c r="H13" s="1">
        <f t="shared" ca="1" si="1"/>
        <v>38723</v>
      </c>
    </row>
    <row r="14" spans="1:8" ht="15.75">
      <c r="A14" s="1"/>
      <c r="B14" s="1"/>
      <c r="C14" s="1"/>
      <c r="D14" s="4" t="s">
        <v>23</v>
      </c>
      <c r="E14" s="3" t="str" cm="1">
        <f t="array" aca="1" ref="E14" ca="1">INDEX($A$2:$A$6, RANDBETWEEN(1, 5))</f>
        <v>Уборщик</v>
      </c>
      <c r="F14" s="1">
        <f ca="1">[1]Январь1!F14 + RANDBETWEEN(-5000, 5000)</f>
        <v>97162</v>
      </c>
      <c r="G14" s="1">
        <f t="shared" ca="1" si="0"/>
        <v>6042</v>
      </c>
      <c r="H14" s="1">
        <f t="shared" ca="1" si="1"/>
        <v>103204</v>
      </c>
    </row>
    <row r="15" spans="1:8" ht="15.75">
      <c r="A15" s="1"/>
      <c r="B15" s="1"/>
      <c r="C15" s="1"/>
      <c r="D15" s="4" t="s">
        <v>24</v>
      </c>
      <c r="E15" s="3" t="str" cm="1">
        <f t="array" aca="1" ref="E15" ca="1">INDEX($A$2:$A$6, RANDBETWEEN(1, 5))</f>
        <v>Кассир</v>
      </c>
      <c r="F15" s="1">
        <f ca="1">[1]Январь1!F15 + RANDBETWEEN(-5000, 5000)</f>
        <v>42509</v>
      </c>
      <c r="G15" s="1">
        <f t="shared" ca="1" si="0"/>
        <v>5240</v>
      </c>
      <c r="H15" s="1">
        <f t="shared" ca="1" si="1"/>
        <v>47749</v>
      </c>
    </row>
    <row r="16" spans="1:8" ht="15.75">
      <c r="A16" s="1"/>
      <c r="B16" s="1"/>
      <c r="C16" s="1"/>
      <c r="D16" s="4" t="s">
        <v>25</v>
      </c>
      <c r="E16" s="3" t="str" cm="1">
        <f t="array" aca="1" ref="E16" ca="1">INDEX($A$2:$A$6, RANDBETWEEN(1, 5))</f>
        <v>Бариста</v>
      </c>
      <c r="F16" s="1">
        <f ca="1">[1]Январь1!F16 + RANDBETWEEN(-5000, 5000)</f>
        <v>48139</v>
      </c>
      <c r="G16" s="1">
        <f t="shared" ca="1" si="0"/>
        <v>10380</v>
      </c>
      <c r="H16" s="1">
        <f t="shared" ca="1" si="1"/>
        <v>58519</v>
      </c>
    </row>
    <row r="17" spans="1:8" ht="15.75">
      <c r="A17" s="1"/>
      <c r="B17" s="1"/>
      <c r="C17" s="1"/>
      <c r="D17" s="4" t="s">
        <v>26</v>
      </c>
      <c r="E17" s="3" t="str" cm="1">
        <f t="array" aca="1" ref="E17" ca="1">INDEX($A$2:$A$6, RANDBETWEEN(1, 5))</f>
        <v>Менджер</v>
      </c>
      <c r="F17" s="1">
        <f ca="1">[1]Январь1!F17 + RANDBETWEEN(-5000, 5000)</f>
        <v>55076</v>
      </c>
      <c r="G17" s="1">
        <f t="shared" ca="1" si="0"/>
        <v>8497</v>
      </c>
      <c r="H17" s="1">
        <f t="shared" ca="1" si="1"/>
        <v>63573</v>
      </c>
    </row>
    <row r="18" spans="1:8" ht="15.75">
      <c r="A18" s="1"/>
      <c r="B18" s="1"/>
      <c r="C18" s="1"/>
      <c r="D18" s="4" t="s">
        <v>27</v>
      </c>
      <c r="E18" s="3" t="str" cm="1">
        <f t="array" aca="1" ref="E18" ca="1">INDEX($A$2:$A$6, RANDBETWEEN(1, 5))</f>
        <v>Менджер</v>
      </c>
      <c r="F18" s="1">
        <f ca="1">[1]Январь1!F18 + RANDBETWEEN(-5000, 5000)</f>
        <v>94215</v>
      </c>
      <c r="G18" s="1">
        <f t="shared" ca="1" si="0"/>
        <v>14214</v>
      </c>
      <c r="H18" s="1">
        <f t="shared" ca="1" si="1"/>
        <v>108429</v>
      </c>
    </row>
    <row r="19" spans="1:8" ht="15.75">
      <c r="A19" s="1"/>
      <c r="B19" s="1"/>
      <c r="C19" s="1"/>
      <c r="D19" s="4" t="s">
        <v>28</v>
      </c>
      <c r="E19" s="3" t="str" cm="1">
        <f t="array" aca="1" ref="E19" ca="1">INDEX($A$2:$A$6, RANDBETWEEN(1, 5))</f>
        <v>Кассир</v>
      </c>
      <c r="F19" s="1">
        <f ca="1">[1]Январь1!F19 + RANDBETWEEN(-5000, 5000)</f>
        <v>89168</v>
      </c>
      <c r="G19" s="1">
        <f t="shared" ca="1" si="0"/>
        <v>15042</v>
      </c>
      <c r="H19" s="1">
        <f t="shared" ca="1" si="1"/>
        <v>104210</v>
      </c>
    </row>
    <row r="20" spans="1:8" ht="15.75">
      <c r="A20" s="1"/>
      <c r="B20" s="1"/>
      <c r="C20" s="1"/>
      <c r="D20" s="4" t="s">
        <v>29</v>
      </c>
      <c r="E20" s="3" t="str" cm="1">
        <f t="array" aca="1" ref="E20" ca="1">INDEX($A$2:$A$6, RANDBETWEEN(1, 5))</f>
        <v>Менджер</v>
      </c>
      <c r="F20" s="1">
        <f ca="1">[1]Январь1!F20 + RANDBETWEEN(-5000, 5000)</f>
        <v>30939</v>
      </c>
      <c r="G20" s="1">
        <f t="shared" ca="1" si="0"/>
        <v>10606</v>
      </c>
      <c r="H20" s="1">
        <f t="shared" ca="1" si="1"/>
        <v>41545</v>
      </c>
    </row>
    <row r="21" spans="1:8" ht="15.75">
      <c r="A21" s="1"/>
      <c r="B21" s="1"/>
      <c r="C21" s="1"/>
      <c r="D21" s="4" t="s">
        <v>30</v>
      </c>
      <c r="E21" s="3" t="str" cm="1">
        <f t="array" aca="1" ref="E21" ca="1">INDEX($A$2:$A$6, RANDBETWEEN(1, 5))</f>
        <v>Бариста</v>
      </c>
      <c r="F21" s="1">
        <f ca="1">[1]Январь1!F21 + RANDBETWEEN(-5000, 5000)</f>
        <v>35734</v>
      </c>
      <c r="G21" s="1">
        <f t="shared" ca="1" si="0"/>
        <v>16891</v>
      </c>
      <c r="H21" s="1">
        <f t="shared" ca="1" si="1"/>
        <v>52625</v>
      </c>
    </row>
    <row r="22" spans="1:8" ht="15.75">
      <c r="A22" s="1"/>
      <c r="B22" s="1"/>
      <c r="C22" s="1"/>
      <c r="D22" s="4" t="s">
        <v>31</v>
      </c>
      <c r="E22" s="3" t="str" cm="1">
        <f t="array" aca="1" ref="E22" ca="1">INDEX($A$2:$A$6, RANDBETWEEN(1, 5))</f>
        <v>Директор</v>
      </c>
      <c r="F22" s="1">
        <f ca="1">[1]Январь1!F22 + RANDBETWEEN(-5000, 5000)</f>
        <v>42885</v>
      </c>
      <c r="G22" s="1">
        <f t="shared" ca="1" si="0"/>
        <v>8536</v>
      </c>
      <c r="H22" s="1">
        <f t="shared" ca="1" si="1"/>
        <v>51421</v>
      </c>
    </row>
    <row r="23" spans="1:8" ht="15.75">
      <c r="A23" s="1"/>
      <c r="B23" s="1"/>
      <c r="C23" s="1"/>
      <c r="D23" s="4" t="s">
        <v>32</v>
      </c>
      <c r="E23" s="3" t="str" cm="1">
        <f t="array" aca="1" ref="E23" ca="1">INDEX($A$2:$A$6, RANDBETWEEN(1, 5))</f>
        <v>Менджер</v>
      </c>
      <c r="F23" s="1">
        <f ca="1">[1]Январь1!F23 + RANDBETWEEN(-5000, 5000)</f>
        <v>49700</v>
      </c>
      <c r="G23" s="1">
        <f t="shared" ca="1" si="0"/>
        <v>14025</v>
      </c>
      <c r="H23" s="1">
        <f t="shared" ca="1" si="1"/>
        <v>63725</v>
      </c>
    </row>
    <row r="24" spans="1:8" ht="15.75">
      <c r="A24" s="1"/>
      <c r="B24" s="1"/>
      <c r="C24" s="1"/>
      <c r="D24" s="4" t="s">
        <v>33</v>
      </c>
      <c r="E24" s="3" t="str" cm="1">
        <f t="array" aca="1" ref="E24" ca="1">INDEX($A$2:$A$6, RANDBETWEEN(1, 5))</f>
        <v>Бариста</v>
      </c>
      <c r="F24" s="1">
        <f ca="1">[1]Январь1!F24 + RANDBETWEEN(-5000, 5000)</f>
        <v>47359</v>
      </c>
      <c r="G24" s="1">
        <f t="shared" ca="1" si="0"/>
        <v>7410</v>
      </c>
      <c r="H24" s="1">
        <f t="shared" ca="1" si="1"/>
        <v>54769</v>
      </c>
    </row>
    <row r="25" spans="1:8" ht="15.75">
      <c r="A25" s="1"/>
      <c r="B25" s="1"/>
      <c r="C25" s="1"/>
      <c r="D25" s="4" t="s">
        <v>34</v>
      </c>
      <c r="E25" s="3" t="str" cm="1">
        <f t="array" aca="1" ref="E25" ca="1">INDEX($A$2:$A$6, RANDBETWEEN(1, 5))</f>
        <v>Директор</v>
      </c>
      <c r="F25" s="1">
        <f ca="1">[1]Январь1!F25 + RANDBETWEEN(-5000, 5000)</f>
        <v>69265</v>
      </c>
      <c r="G25" s="1">
        <f t="shared" ca="1" si="0"/>
        <v>8982</v>
      </c>
      <c r="H25" s="1">
        <f t="shared" ca="1" si="1"/>
        <v>78247</v>
      </c>
    </row>
    <row r="26" spans="1:8" ht="15.75">
      <c r="A26" s="1"/>
      <c r="B26" s="1"/>
      <c r="C26" s="1"/>
      <c r="D26" s="4" t="s">
        <v>35</v>
      </c>
      <c r="E26" s="3" t="str" cm="1">
        <f t="array" aca="1" ref="E26" ca="1">INDEX($A$2:$A$6, RANDBETWEEN(1, 5))</f>
        <v>Менджер</v>
      </c>
      <c r="F26" s="1">
        <f ca="1">[1]Январь1!F26 + RANDBETWEEN(-5000, 5000)</f>
        <v>31143</v>
      </c>
      <c r="G26" s="1">
        <f t="shared" ca="1" si="0"/>
        <v>5150</v>
      </c>
      <c r="H26" s="1">
        <f t="shared" ca="1" si="1"/>
        <v>36293</v>
      </c>
    </row>
    <row r="27" spans="1:8" ht="15.75">
      <c r="A27" s="1"/>
      <c r="B27" s="1"/>
      <c r="C27" s="1"/>
      <c r="D27" s="4" t="s">
        <v>36</v>
      </c>
      <c r="E27" s="3" t="str" cm="1">
        <f t="array" aca="1" ref="E27" ca="1">INDEX($A$2:$A$6, RANDBETWEEN(1, 5))</f>
        <v>Менджер</v>
      </c>
      <c r="F27" s="1">
        <f ca="1">[1]Январь1!F27 + RANDBETWEEN(-5000, 5000)</f>
        <v>55763</v>
      </c>
      <c r="G27" s="1">
        <f t="shared" ca="1" si="0"/>
        <v>8608</v>
      </c>
      <c r="H27" s="1">
        <f t="shared" ca="1" si="1"/>
        <v>64371</v>
      </c>
    </row>
    <row r="28" spans="1:8" ht="15.75">
      <c r="A28" s="1"/>
      <c r="B28" s="1"/>
      <c r="C28" s="1"/>
      <c r="D28" s="4" t="s">
        <v>37</v>
      </c>
      <c r="E28" s="3" t="str" cm="1">
        <f t="array" aca="1" ref="E28" ca="1">INDEX($A$2:$A$6, RANDBETWEEN(1, 5))</f>
        <v>Менджер</v>
      </c>
      <c r="F28" s="1">
        <f ca="1">[1]Январь1!F28 + RANDBETWEEN(-5000, 5000)</f>
        <v>44282</v>
      </c>
      <c r="G28" s="1">
        <f t="shared" ca="1" si="0"/>
        <v>7844</v>
      </c>
      <c r="H28" s="1">
        <f t="shared" ca="1" si="1"/>
        <v>52126</v>
      </c>
    </row>
    <row r="29" spans="1:8" ht="15.75">
      <c r="A29" s="1"/>
      <c r="B29" s="1"/>
      <c r="C29" s="1"/>
      <c r="D29" s="4" t="s">
        <v>38</v>
      </c>
      <c r="E29" s="3" t="str" cm="1">
        <f t="array" aca="1" ref="E29" ca="1">INDEX($A$2:$A$6, RANDBETWEEN(1, 5))</f>
        <v>Менджер</v>
      </c>
      <c r="F29" s="1">
        <f ca="1">[1]Январь1!F29 + RANDBETWEEN(-5000, 5000)</f>
        <v>23929</v>
      </c>
      <c r="G29" s="1">
        <f t="shared" ca="1" si="0"/>
        <v>10150</v>
      </c>
      <c r="H29" s="1">
        <f t="shared" ca="1" si="1"/>
        <v>34079</v>
      </c>
    </row>
    <row r="30" spans="1:8" ht="15.75">
      <c r="A30" s="1"/>
      <c r="B30" s="1"/>
      <c r="C30" s="1"/>
      <c r="D30" s="4" t="s">
        <v>39</v>
      </c>
      <c r="E30" s="3" t="str" cm="1">
        <f t="array" aca="1" ref="E30" ca="1">INDEX($A$2:$A$6, RANDBETWEEN(1, 5))</f>
        <v>Директор</v>
      </c>
      <c r="F30" s="1">
        <f ca="1">[1]Январь1!F30 + RANDBETWEEN(-5000, 5000)</f>
        <v>55241</v>
      </c>
      <c r="G30" s="1">
        <f t="shared" ca="1" si="0"/>
        <v>6572</v>
      </c>
      <c r="H30" s="1">
        <f t="shared" ca="1" si="1"/>
        <v>61813</v>
      </c>
    </row>
    <row r="31" spans="1:8" ht="15.75">
      <c r="A31" s="1"/>
      <c r="B31" s="1"/>
      <c r="C31" s="1"/>
      <c r="D31" s="4" t="s">
        <v>40</v>
      </c>
      <c r="E31" s="3" t="str" cm="1">
        <f t="array" aca="1" ref="E31" ca="1">INDEX($A$2:$A$6, RANDBETWEEN(1, 5))</f>
        <v>Кассир</v>
      </c>
      <c r="F31" s="1">
        <f ca="1">[1]Январь1!F31 + RANDBETWEEN(-5000, 5000)</f>
        <v>54356</v>
      </c>
      <c r="G31" s="1">
        <f t="shared" ca="1" si="0"/>
        <v>10614</v>
      </c>
      <c r="H31" s="1">
        <f t="shared" ca="1" si="1"/>
        <v>64970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93C3-65AB-426A-B644-DEAA594DBF86}">
  <dimension ref="A1:H31"/>
  <sheetViews>
    <sheetView topLeftCell="A12" workbookViewId="0">
      <selection activeCell="G2" sqref="G2:G31"/>
    </sheetView>
  </sheetViews>
  <sheetFormatPr defaultRowHeight="14.25"/>
  <cols>
    <col min="3" max="3" width="9" hidden="1" customWidth="1"/>
    <col min="4" max="4" width="33" customWidth="1"/>
  </cols>
  <sheetData>
    <row r="1" spans="1:8" ht="15">
      <c r="A1" s="3" t="s">
        <v>1</v>
      </c>
      <c r="B1" s="3" t="s">
        <v>7</v>
      </c>
      <c r="C1" s="1"/>
      <c r="D1" s="3" t="s">
        <v>0</v>
      </c>
      <c r="E1" s="3" t="s">
        <v>1</v>
      </c>
      <c r="F1" s="3" t="s">
        <v>2</v>
      </c>
      <c r="G1" s="3" t="s">
        <v>3</v>
      </c>
      <c r="H1" s="3" t="s">
        <v>10</v>
      </c>
    </row>
    <row r="2" spans="1:8" ht="15.75">
      <c r="A2" s="3" t="s">
        <v>4</v>
      </c>
      <c r="B2" s="3">
        <v>100000</v>
      </c>
      <c r="C2" s="1"/>
      <c r="D2" s="4" t="s">
        <v>12</v>
      </c>
      <c r="E2" s="3" t="str" cm="1">
        <f t="array" aca="1" ref="E2" ca="1">INDEX($A$2:$A$6, RANDBETWEEN(1, 5))</f>
        <v>Бариста</v>
      </c>
      <c r="F2" s="1">
        <f ca="1">[1]Январь1!F2 + RANDBETWEEN(-5000, 5000)</f>
        <v>7227</v>
      </c>
      <c r="G2" s="1">
        <f ca="1">RANDBETWEEN(5000, 21000)</f>
        <v>14373</v>
      </c>
      <c r="H2" s="1">
        <f ca="1">F2+G2</f>
        <v>21600</v>
      </c>
    </row>
    <row r="3" spans="1:8" ht="15.75">
      <c r="A3" s="3" t="s">
        <v>8</v>
      </c>
      <c r="B3" s="3">
        <v>60000</v>
      </c>
      <c r="C3" s="1"/>
      <c r="D3" s="4" t="s">
        <v>11</v>
      </c>
      <c r="E3" s="3" t="str" cm="1">
        <f t="array" aca="1" ref="E3" ca="1">INDEX($A$2:$A$6, RANDBETWEEN(1, 5))</f>
        <v>Уборщик</v>
      </c>
      <c r="F3" s="1">
        <f ca="1">[1]Январь1!F3 + RANDBETWEEN(-5000, 5000)</f>
        <v>-456</v>
      </c>
      <c r="G3" s="1">
        <f t="shared" ref="G3:G31" ca="1" si="0">RANDBETWEEN(5000, 21000)</f>
        <v>16895</v>
      </c>
      <c r="H3" s="1">
        <f t="shared" ref="H3:H31" ca="1" si="1">F3+G3</f>
        <v>16439</v>
      </c>
    </row>
    <row r="4" spans="1:8" ht="15.75">
      <c r="A4" s="3" t="s">
        <v>5</v>
      </c>
      <c r="B4" s="3">
        <v>45000</v>
      </c>
      <c r="C4" s="1"/>
      <c r="D4" s="4" t="s">
        <v>13</v>
      </c>
      <c r="E4" s="3" t="str" cm="1">
        <f t="array" aca="1" ref="E4" ca="1">INDEX($A$2:$A$6, RANDBETWEEN(1, 5))</f>
        <v>Директор</v>
      </c>
      <c r="F4" s="1">
        <f ca="1">[1]Январь1!F4 + RANDBETWEEN(-5000, 5000)</f>
        <v>-5544</v>
      </c>
      <c r="G4" s="1">
        <f t="shared" ca="1" si="0"/>
        <v>20073</v>
      </c>
      <c r="H4" s="1">
        <f t="shared" ca="1" si="1"/>
        <v>14529</v>
      </c>
    </row>
    <row r="5" spans="1:8" ht="15.75">
      <c r="A5" s="3" t="s">
        <v>9</v>
      </c>
      <c r="B5" s="3">
        <v>40000</v>
      </c>
      <c r="C5" s="1"/>
      <c r="D5" s="4" t="s">
        <v>14</v>
      </c>
      <c r="E5" s="3" t="str" cm="1">
        <f t="array" aca="1" ref="E5" ca="1">INDEX($A$2:$A$6, RANDBETWEEN(1, 5))</f>
        <v>Директор</v>
      </c>
      <c r="F5" s="1">
        <f ca="1">[1]Январь1!F5+RANDBETWEEN(-5000,5000)</f>
        <v>10613</v>
      </c>
      <c r="G5" s="1">
        <f t="shared" ca="1" si="0"/>
        <v>17403</v>
      </c>
      <c r="H5" s="1">
        <f t="shared" ca="1" si="1"/>
        <v>28016</v>
      </c>
    </row>
    <row r="6" spans="1:8" ht="15.75">
      <c r="A6" s="3" t="s">
        <v>6</v>
      </c>
      <c r="B6" s="3">
        <v>30000</v>
      </c>
      <c r="C6" s="1"/>
      <c r="D6" s="4" t="s">
        <v>15</v>
      </c>
      <c r="E6" s="3" t="str" cm="1">
        <f t="array" aca="1" ref="E6" ca="1">INDEX($A$2:$A$6, RANDBETWEEN(1, 5))</f>
        <v>Директор</v>
      </c>
      <c r="F6" s="1">
        <f ca="1">[1]Январь1!F6 + RANDBETWEEN(-5000, 5000)</f>
        <v>2360</v>
      </c>
      <c r="G6" s="1">
        <f t="shared" ca="1" si="0"/>
        <v>7256</v>
      </c>
      <c r="H6" s="1">
        <f t="shared" ca="1" si="1"/>
        <v>9616</v>
      </c>
    </row>
    <row r="7" spans="1:8" ht="15.75">
      <c r="A7" s="1"/>
      <c r="B7" s="1"/>
      <c r="C7" s="1"/>
      <c r="D7" s="4" t="s">
        <v>16</v>
      </c>
      <c r="E7" s="3" t="str" cm="1">
        <f t="array" aca="1" ref="E7" ca="1">INDEX($A$2:$A$6, RANDBETWEEN(1, 5))</f>
        <v>Директор</v>
      </c>
      <c r="F7" s="1">
        <f ca="1">[1]Январь1!F7 + RANDBETWEEN(-5000, 5000)</f>
        <v>56073</v>
      </c>
      <c r="G7" s="1">
        <f t="shared" ca="1" si="0"/>
        <v>10064</v>
      </c>
      <c r="H7" s="1">
        <f t="shared" ca="1" si="1"/>
        <v>66137</v>
      </c>
    </row>
    <row r="8" spans="1:8" ht="15.75">
      <c r="A8" s="1"/>
      <c r="B8" s="1"/>
      <c r="C8" s="1"/>
      <c r="D8" s="4" t="s">
        <v>17</v>
      </c>
      <c r="E8" s="3" t="str" cm="1">
        <f t="array" aca="1" ref="E8" ca="1">INDEX($A$2:$A$6, RANDBETWEEN(1, 5))</f>
        <v>Директор</v>
      </c>
      <c r="F8" s="1">
        <f ca="1">[1]Январь1!F8 + RANDBETWEEN(-5000, 5000)</f>
        <v>47142</v>
      </c>
      <c r="G8" s="1">
        <f t="shared" ca="1" si="0"/>
        <v>9917</v>
      </c>
      <c r="H8" s="1">
        <f t="shared" ca="1" si="1"/>
        <v>57059</v>
      </c>
    </row>
    <row r="9" spans="1:8" ht="15.75">
      <c r="A9" s="1"/>
      <c r="B9" s="1"/>
      <c r="C9" s="1"/>
      <c r="D9" s="4" t="s">
        <v>18</v>
      </c>
      <c r="E9" s="3" t="str" cm="1">
        <f t="array" aca="1" ref="E9" ca="1">INDEX($A$2:$A$6, RANDBETWEEN(1, 5))</f>
        <v>Директор</v>
      </c>
      <c r="F9" s="1">
        <f ca="1">[1]Январь1!F9 + RANDBETWEEN(-5000, 5000)</f>
        <v>54712</v>
      </c>
      <c r="G9" s="1">
        <f t="shared" ca="1" si="0"/>
        <v>9402</v>
      </c>
      <c r="H9" s="1">
        <f t="shared" ca="1" si="1"/>
        <v>64114</v>
      </c>
    </row>
    <row r="10" spans="1:8" ht="15.75">
      <c r="A10" s="1"/>
      <c r="B10" s="1"/>
      <c r="C10" s="1"/>
      <c r="D10" s="4" t="s">
        <v>19</v>
      </c>
      <c r="E10" s="3" t="str" cm="1">
        <f t="array" aca="1" ref="E10" ca="1">INDEX($A$2:$A$6, RANDBETWEEN(1, 5))</f>
        <v>Уборщик</v>
      </c>
      <c r="F10" s="1">
        <f ca="1">[1]Январь1!F10 + RANDBETWEEN(-5000, 5000)</f>
        <v>41368</v>
      </c>
      <c r="G10" s="1">
        <f t="shared" ca="1" si="0"/>
        <v>13215</v>
      </c>
      <c r="H10" s="1">
        <f t="shared" ca="1" si="1"/>
        <v>54583</v>
      </c>
    </row>
    <row r="11" spans="1:8" ht="15.75">
      <c r="A11" s="1"/>
      <c r="B11" s="1"/>
      <c r="C11" s="1"/>
      <c r="D11" s="4" t="s">
        <v>20</v>
      </c>
      <c r="E11" s="3" t="str" cm="1">
        <f t="array" aca="1" ref="E11" ca="1">INDEX($A$2:$A$6, RANDBETWEEN(1, 5))</f>
        <v>Менджер</v>
      </c>
      <c r="F11" s="1">
        <f ca="1">[1]Январь1!F11 + RANDBETWEEN(-5000, 5000)</f>
        <v>43758</v>
      </c>
      <c r="G11" s="1">
        <f t="shared" ca="1" si="0"/>
        <v>11572</v>
      </c>
      <c r="H11" s="1">
        <f t="shared" ca="1" si="1"/>
        <v>55330</v>
      </c>
    </row>
    <row r="12" spans="1:8" ht="15.75">
      <c r="A12" s="1"/>
      <c r="B12" s="1"/>
      <c r="C12" s="1"/>
      <c r="D12" s="4" t="s">
        <v>22</v>
      </c>
      <c r="E12" s="3" t="str" cm="1">
        <f t="array" aca="1" ref="E12" ca="1">INDEX($A$2:$A$6, RANDBETWEEN(1, 5))</f>
        <v>Бариста</v>
      </c>
      <c r="F12" s="1">
        <f ca="1">[1]Январь1!F12 + RANDBETWEEN(-5000, 5000)</f>
        <v>30088</v>
      </c>
      <c r="G12" s="1">
        <f t="shared" ca="1" si="0"/>
        <v>20862</v>
      </c>
      <c r="H12" s="1">
        <f t="shared" ca="1" si="1"/>
        <v>50950</v>
      </c>
    </row>
    <row r="13" spans="1:8" ht="15.75">
      <c r="A13" s="1"/>
      <c r="B13" s="1"/>
      <c r="C13" s="1"/>
      <c r="D13" s="4" t="s">
        <v>21</v>
      </c>
      <c r="E13" s="3" t="str" cm="1">
        <f t="array" aca="1" ref="E13" ca="1">INDEX($A$2:$A$6, RANDBETWEEN(1, 5))</f>
        <v>Кассир</v>
      </c>
      <c r="F13" s="1">
        <f ca="1">[1]Январь1!F13 + RANDBETWEEN(-5000, 5000)</f>
        <v>31683</v>
      </c>
      <c r="G13" s="1">
        <f t="shared" ca="1" si="0"/>
        <v>8726</v>
      </c>
      <c r="H13" s="1">
        <f t="shared" ca="1" si="1"/>
        <v>40409</v>
      </c>
    </row>
    <row r="14" spans="1:8" ht="15.75">
      <c r="A14" s="1"/>
      <c r="B14" s="1"/>
      <c r="C14" s="1"/>
      <c r="D14" s="4" t="s">
        <v>23</v>
      </c>
      <c r="E14" s="3" t="str" cm="1">
        <f t="array" aca="1" ref="E14" ca="1">INDEX($A$2:$A$6, RANDBETWEEN(1, 5))</f>
        <v>Бариста</v>
      </c>
      <c r="F14" s="1">
        <f ca="1">[1]Январь1!F14 + RANDBETWEEN(-5000, 5000)</f>
        <v>103339</v>
      </c>
      <c r="G14" s="1">
        <f t="shared" ca="1" si="0"/>
        <v>12396</v>
      </c>
      <c r="H14" s="1">
        <f t="shared" ca="1" si="1"/>
        <v>115735</v>
      </c>
    </row>
    <row r="15" spans="1:8" ht="15.75">
      <c r="A15" s="1"/>
      <c r="B15" s="1"/>
      <c r="C15" s="1"/>
      <c r="D15" s="4" t="s">
        <v>24</v>
      </c>
      <c r="E15" s="3" t="str" cm="1">
        <f t="array" aca="1" ref="E15" ca="1">INDEX($A$2:$A$6, RANDBETWEEN(1, 5))</f>
        <v>Бариста</v>
      </c>
      <c r="F15" s="1">
        <f ca="1">[1]Январь1!F15 + RANDBETWEEN(-5000, 5000)</f>
        <v>45585</v>
      </c>
      <c r="G15" s="1">
        <f t="shared" ca="1" si="0"/>
        <v>14751</v>
      </c>
      <c r="H15" s="1">
        <f t="shared" ca="1" si="1"/>
        <v>60336</v>
      </c>
    </row>
    <row r="16" spans="1:8" ht="15.75">
      <c r="A16" s="1"/>
      <c r="B16" s="1"/>
      <c r="C16" s="1"/>
      <c r="D16" s="4" t="s">
        <v>25</v>
      </c>
      <c r="E16" s="3" t="str" cm="1">
        <f t="array" aca="1" ref="E16" ca="1">INDEX($A$2:$A$6, RANDBETWEEN(1, 5))</f>
        <v>Уборщик</v>
      </c>
      <c r="F16" s="1">
        <f ca="1">[1]Январь1!F16 + RANDBETWEEN(-5000, 5000)</f>
        <v>40884</v>
      </c>
      <c r="G16" s="1">
        <f t="shared" ca="1" si="0"/>
        <v>13728</v>
      </c>
      <c r="H16" s="1">
        <f t="shared" ca="1" si="1"/>
        <v>54612</v>
      </c>
    </row>
    <row r="17" spans="1:8" ht="15.75">
      <c r="A17" s="1"/>
      <c r="B17" s="1"/>
      <c r="C17" s="1"/>
      <c r="D17" s="4" t="s">
        <v>26</v>
      </c>
      <c r="E17" s="3" t="str" cm="1">
        <f t="array" aca="1" ref="E17" ca="1">INDEX($A$2:$A$6, RANDBETWEEN(1, 5))</f>
        <v>Кассир</v>
      </c>
      <c r="F17" s="1">
        <f ca="1">[1]Январь1!F17 + RANDBETWEEN(-5000, 5000)</f>
        <v>58093</v>
      </c>
      <c r="G17" s="1">
        <f t="shared" ca="1" si="0"/>
        <v>13812</v>
      </c>
      <c r="H17" s="1">
        <f t="shared" ca="1" si="1"/>
        <v>71905</v>
      </c>
    </row>
    <row r="18" spans="1:8" ht="15.75">
      <c r="A18" s="1"/>
      <c r="B18" s="1"/>
      <c r="C18" s="1"/>
      <c r="D18" s="4" t="s">
        <v>27</v>
      </c>
      <c r="E18" s="3" t="str" cm="1">
        <f t="array" aca="1" ref="E18" ca="1">INDEX($A$2:$A$6, RANDBETWEEN(1, 5))</f>
        <v>Менджер</v>
      </c>
      <c r="F18" s="1">
        <f ca="1">[1]Январь1!F18 + RANDBETWEEN(-5000, 5000)</f>
        <v>91285</v>
      </c>
      <c r="G18" s="1">
        <f t="shared" ca="1" si="0"/>
        <v>5798</v>
      </c>
      <c r="H18" s="1">
        <f t="shared" ca="1" si="1"/>
        <v>97083</v>
      </c>
    </row>
    <row r="19" spans="1:8" ht="15.75">
      <c r="A19" s="1"/>
      <c r="B19" s="1"/>
      <c r="C19" s="1"/>
      <c r="D19" s="4" t="s">
        <v>28</v>
      </c>
      <c r="E19" s="3" t="str" cm="1">
        <f t="array" aca="1" ref="E19" ca="1">INDEX($A$2:$A$6, RANDBETWEEN(1, 5))</f>
        <v>Бариста</v>
      </c>
      <c r="F19" s="1">
        <f ca="1">[1]Январь1!F19 + RANDBETWEEN(-5000, 5000)</f>
        <v>93203</v>
      </c>
      <c r="G19" s="1">
        <f t="shared" ca="1" si="0"/>
        <v>5591</v>
      </c>
      <c r="H19" s="1">
        <f t="shared" ca="1" si="1"/>
        <v>98794</v>
      </c>
    </row>
    <row r="20" spans="1:8" ht="15.75">
      <c r="A20" s="1"/>
      <c r="B20" s="1"/>
      <c r="C20" s="1"/>
      <c r="D20" s="4" t="s">
        <v>29</v>
      </c>
      <c r="E20" s="3" t="str" cm="1">
        <f t="array" aca="1" ref="E20" ca="1">INDEX($A$2:$A$6, RANDBETWEEN(1, 5))</f>
        <v>Уборщик</v>
      </c>
      <c r="F20" s="1">
        <f ca="1">[1]Январь1!F20 + RANDBETWEEN(-5000, 5000)</f>
        <v>34509</v>
      </c>
      <c r="G20" s="1">
        <f t="shared" ca="1" si="0"/>
        <v>19069</v>
      </c>
      <c r="H20" s="1">
        <f t="shared" ca="1" si="1"/>
        <v>53578</v>
      </c>
    </row>
    <row r="21" spans="1:8" ht="15.75">
      <c r="A21" s="1"/>
      <c r="B21" s="1"/>
      <c r="C21" s="1"/>
      <c r="D21" s="4" t="s">
        <v>30</v>
      </c>
      <c r="E21" s="3" t="str" cm="1">
        <f t="array" aca="1" ref="E21" ca="1">INDEX($A$2:$A$6, RANDBETWEEN(1, 5))</f>
        <v>Бариста</v>
      </c>
      <c r="F21" s="1">
        <f ca="1">[1]Январь1!F21 + RANDBETWEEN(-5000, 5000)</f>
        <v>35365</v>
      </c>
      <c r="G21" s="1">
        <f t="shared" ca="1" si="0"/>
        <v>8074</v>
      </c>
      <c r="H21" s="1">
        <f t="shared" ca="1" si="1"/>
        <v>43439</v>
      </c>
    </row>
    <row r="22" spans="1:8" ht="15.75">
      <c r="A22" s="1"/>
      <c r="B22" s="1"/>
      <c r="C22" s="1"/>
      <c r="D22" s="4" t="s">
        <v>31</v>
      </c>
      <c r="E22" s="3" t="str" cm="1">
        <f t="array" aca="1" ref="E22" ca="1">INDEX($A$2:$A$6, RANDBETWEEN(1, 5))</f>
        <v>Менджер</v>
      </c>
      <c r="F22" s="1">
        <f ca="1">[1]Январь1!F22 + RANDBETWEEN(-5000, 5000)</f>
        <v>44792</v>
      </c>
      <c r="G22" s="1">
        <f t="shared" ca="1" si="0"/>
        <v>5704</v>
      </c>
      <c r="H22" s="1">
        <f t="shared" ca="1" si="1"/>
        <v>50496</v>
      </c>
    </row>
    <row r="23" spans="1:8" ht="15.75">
      <c r="A23" s="1"/>
      <c r="B23" s="1"/>
      <c r="C23" s="1"/>
      <c r="D23" s="4" t="s">
        <v>32</v>
      </c>
      <c r="E23" s="3" t="str" cm="1">
        <f t="array" aca="1" ref="E23" ca="1">INDEX($A$2:$A$6, RANDBETWEEN(1, 5))</f>
        <v>Бариста</v>
      </c>
      <c r="F23" s="1">
        <f ca="1">[1]Январь1!F23 + RANDBETWEEN(-5000, 5000)</f>
        <v>50375</v>
      </c>
      <c r="G23" s="1">
        <f t="shared" ca="1" si="0"/>
        <v>18240</v>
      </c>
      <c r="H23" s="1">
        <f t="shared" ca="1" si="1"/>
        <v>68615</v>
      </c>
    </row>
    <row r="24" spans="1:8" ht="15.75">
      <c r="A24" s="1"/>
      <c r="B24" s="1"/>
      <c r="C24" s="1"/>
      <c r="D24" s="4" t="s">
        <v>33</v>
      </c>
      <c r="E24" s="3" t="str" cm="1">
        <f t="array" aca="1" ref="E24" ca="1">INDEX($A$2:$A$6, RANDBETWEEN(1, 5))</f>
        <v>Директор</v>
      </c>
      <c r="F24" s="1">
        <f ca="1">[1]Январь1!F24 + RANDBETWEEN(-5000, 5000)</f>
        <v>48840</v>
      </c>
      <c r="G24" s="1">
        <f t="shared" ca="1" si="0"/>
        <v>17359</v>
      </c>
      <c r="H24" s="1">
        <f t="shared" ca="1" si="1"/>
        <v>66199</v>
      </c>
    </row>
    <row r="25" spans="1:8" ht="15.75">
      <c r="A25" s="1"/>
      <c r="B25" s="1"/>
      <c r="C25" s="1"/>
      <c r="D25" s="4" t="s">
        <v>34</v>
      </c>
      <c r="E25" s="3" t="str" cm="1">
        <f t="array" aca="1" ref="E25" ca="1">INDEX($A$2:$A$6, RANDBETWEEN(1, 5))</f>
        <v>Бариста</v>
      </c>
      <c r="F25" s="1">
        <f ca="1">[1]Январь1!F25 + RANDBETWEEN(-5000, 5000)</f>
        <v>62168</v>
      </c>
      <c r="G25" s="1">
        <f t="shared" ca="1" si="0"/>
        <v>9612</v>
      </c>
      <c r="H25" s="1">
        <f t="shared" ca="1" si="1"/>
        <v>71780</v>
      </c>
    </row>
    <row r="26" spans="1:8" ht="15.75">
      <c r="A26" s="1"/>
      <c r="B26" s="1"/>
      <c r="C26" s="1"/>
      <c r="D26" s="4" t="s">
        <v>35</v>
      </c>
      <c r="E26" s="3" t="str" cm="1">
        <f t="array" aca="1" ref="E26" ca="1">INDEX($A$2:$A$6, RANDBETWEEN(1, 5))</f>
        <v>Уборщик</v>
      </c>
      <c r="F26" s="1">
        <f ca="1">[1]Январь1!F26 + RANDBETWEEN(-5000, 5000)</f>
        <v>30200</v>
      </c>
      <c r="G26" s="1">
        <f t="shared" ca="1" si="0"/>
        <v>13040</v>
      </c>
      <c r="H26" s="1">
        <f t="shared" ca="1" si="1"/>
        <v>43240</v>
      </c>
    </row>
    <row r="27" spans="1:8" ht="15.75">
      <c r="A27" s="1"/>
      <c r="B27" s="1"/>
      <c r="C27" s="1"/>
      <c r="D27" s="4" t="s">
        <v>36</v>
      </c>
      <c r="E27" s="3" t="str" cm="1">
        <f t="array" aca="1" ref="E27" ca="1">INDEX($A$2:$A$6, RANDBETWEEN(1, 5))</f>
        <v>Уборщик</v>
      </c>
      <c r="F27" s="1">
        <f ca="1">[1]Январь1!F27 + RANDBETWEEN(-5000, 5000)</f>
        <v>57513</v>
      </c>
      <c r="G27" s="1">
        <f t="shared" ca="1" si="0"/>
        <v>8896</v>
      </c>
      <c r="H27" s="1">
        <f t="shared" ca="1" si="1"/>
        <v>66409</v>
      </c>
    </row>
    <row r="28" spans="1:8" ht="15.75">
      <c r="A28" s="1"/>
      <c r="B28" s="1"/>
      <c r="C28" s="1"/>
      <c r="D28" s="4" t="s">
        <v>37</v>
      </c>
      <c r="E28" s="3" t="str" cm="1">
        <f t="array" aca="1" ref="E28" ca="1">INDEX($A$2:$A$6, RANDBETWEEN(1, 5))</f>
        <v>Бариста</v>
      </c>
      <c r="F28" s="1">
        <f ca="1">[1]Январь1!F28 + RANDBETWEEN(-5000, 5000)</f>
        <v>36988</v>
      </c>
      <c r="G28" s="1">
        <f t="shared" ca="1" si="0"/>
        <v>8967</v>
      </c>
      <c r="H28" s="1">
        <f t="shared" ca="1" si="1"/>
        <v>45955</v>
      </c>
    </row>
    <row r="29" spans="1:8" ht="15.75">
      <c r="A29" s="1"/>
      <c r="B29" s="1"/>
      <c r="C29" s="1"/>
      <c r="D29" s="4" t="s">
        <v>38</v>
      </c>
      <c r="E29" s="3" t="str" cm="1">
        <f t="array" aca="1" ref="E29" ca="1">INDEX($A$2:$A$6, RANDBETWEEN(1, 5))</f>
        <v>Бариста</v>
      </c>
      <c r="F29" s="1">
        <f ca="1">[1]Январь1!F29 + RANDBETWEEN(-5000, 5000)</f>
        <v>23542</v>
      </c>
      <c r="G29" s="1">
        <f t="shared" ca="1" si="0"/>
        <v>13778</v>
      </c>
      <c r="H29" s="1">
        <f t="shared" ca="1" si="1"/>
        <v>37320</v>
      </c>
    </row>
    <row r="30" spans="1:8" ht="15.75">
      <c r="A30" s="1"/>
      <c r="B30" s="1"/>
      <c r="C30" s="1"/>
      <c r="D30" s="4" t="s">
        <v>39</v>
      </c>
      <c r="E30" s="3" t="str" cm="1">
        <f t="array" aca="1" ref="E30" ca="1">INDEX($A$2:$A$6, RANDBETWEEN(1, 5))</f>
        <v>Менджер</v>
      </c>
      <c r="F30" s="1">
        <f ca="1">[1]Январь1!F30 + RANDBETWEEN(-5000, 5000)</f>
        <v>62038</v>
      </c>
      <c r="G30" s="1">
        <f t="shared" ca="1" si="0"/>
        <v>19867</v>
      </c>
      <c r="H30" s="1">
        <f t="shared" ca="1" si="1"/>
        <v>81905</v>
      </c>
    </row>
    <row r="31" spans="1:8" ht="15.75">
      <c r="A31" s="1"/>
      <c r="B31" s="1"/>
      <c r="C31" s="1"/>
      <c r="D31" s="4" t="s">
        <v>40</v>
      </c>
      <c r="E31" s="3" t="str" cm="1">
        <f t="array" aca="1" ref="E31" ca="1">INDEX($A$2:$A$6, RANDBETWEEN(1, 5))</f>
        <v>Директор</v>
      </c>
      <c r="F31" s="1">
        <f ca="1">[1]Январь1!F31 + RANDBETWEEN(-5000, 5000)</f>
        <v>56819</v>
      </c>
      <c r="G31" s="1">
        <f t="shared" ca="1" si="0"/>
        <v>19357</v>
      </c>
      <c r="H31" s="1">
        <f t="shared" ca="1" si="1"/>
        <v>76176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8D2F-07A0-4818-9DAB-E1D1CAFD9120}">
  <dimension ref="A1:H31"/>
  <sheetViews>
    <sheetView workbookViewId="0">
      <selection activeCell="A2" sqref="A2"/>
    </sheetView>
  </sheetViews>
  <sheetFormatPr defaultRowHeight="14.25"/>
  <cols>
    <col min="3" max="3" width="9" hidden="1" customWidth="1"/>
    <col min="4" max="4" width="32.375" customWidth="1"/>
    <col min="8" max="8" width="18.25" customWidth="1"/>
  </cols>
  <sheetData>
    <row r="1" spans="1:8" ht="15">
      <c r="A1" s="3" t="s">
        <v>1</v>
      </c>
      <c r="B1" s="3" t="s">
        <v>7</v>
      </c>
      <c r="C1" s="1"/>
      <c r="D1" s="3" t="s">
        <v>0</v>
      </c>
      <c r="E1" s="3" t="s">
        <v>1</v>
      </c>
      <c r="F1" s="3" t="s">
        <v>2</v>
      </c>
      <c r="G1" s="3" t="s">
        <v>3</v>
      </c>
      <c r="H1" s="3" t="s">
        <v>10</v>
      </c>
    </row>
    <row r="2" spans="1:8" ht="15.75">
      <c r="A2" s="3" t="s">
        <v>4</v>
      </c>
      <c r="B2" s="3">
        <v>100000</v>
      </c>
      <c r="C2" s="1"/>
      <c r="D2" s="4" t="s">
        <v>12</v>
      </c>
      <c r="E2" s="3" t="str" cm="1">
        <f t="array" aca="1" ref="E2" ca="1">INDEX($A$2:$A$6, RANDBETWEEN(1, 5))</f>
        <v>Менджер</v>
      </c>
      <c r="F2" s="1">
        <f ca="1">[1]Январь1!F2 + RANDBETWEEN(-5000, 5000)</f>
        <v>2522</v>
      </c>
      <c r="G2" s="1">
        <f ca="1">RANDBETWEEN(5000, 22000)</f>
        <v>18435</v>
      </c>
      <c r="H2" s="1">
        <f ca="1">F2+G2</f>
        <v>20957</v>
      </c>
    </row>
    <row r="3" spans="1:8" ht="15.75">
      <c r="A3" s="3" t="s">
        <v>8</v>
      </c>
      <c r="B3" s="3">
        <v>60000</v>
      </c>
      <c r="C3" s="1"/>
      <c r="D3" s="4" t="s">
        <v>11</v>
      </c>
      <c r="E3" s="3" t="str" cm="1">
        <f t="array" aca="1" ref="E3" ca="1">INDEX($A$2:$A$6, RANDBETWEEN(1, 5))</f>
        <v>Уборщик</v>
      </c>
      <c r="F3" s="1">
        <f ca="1">[1]Январь1!F3 + RANDBETWEEN(-5000, 5000)</f>
        <v>1129</v>
      </c>
      <c r="G3" s="1">
        <f t="shared" ref="G3:G31" ca="1" si="0">RANDBETWEEN(5000, 22000)</f>
        <v>11450</v>
      </c>
      <c r="H3" s="1">
        <f t="shared" ref="H3:H31" ca="1" si="1">F3+G3</f>
        <v>12579</v>
      </c>
    </row>
    <row r="4" spans="1:8" ht="15.75">
      <c r="A4" s="3" t="s">
        <v>5</v>
      </c>
      <c r="B4" s="3">
        <v>45000</v>
      </c>
      <c r="C4" s="1"/>
      <c r="D4" s="4" t="s">
        <v>13</v>
      </c>
      <c r="E4" s="3" t="str" cm="1">
        <f t="array" aca="1" ref="E4" ca="1">INDEX($A$2:$A$6, RANDBETWEEN(1, 5))</f>
        <v>Директор</v>
      </c>
      <c r="F4" s="1">
        <f ca="1">[1]Январь1!F4 + RANDBETWEEN(-5000, 5000)</f>
        <v>-6835</v>
      </c>
      <c r="G4" s="1">
        <f t="shared" ca="1" si="0"/>
        <v>5598</v>
      </c>
      <c r="H4" s="1">
        <f t="shared" ca="1" si="1"/>
        <v>-1237</v>
      </c>
    </row>
    <row r="5" spans="1:8" ht="15.75">
      <c r="A5" s="3" t="s">
        <v>9</v>
      </c>
      <c r="B5" s="3">
        <v>40000</v>
      </c>
      <c r="C5" s="1"/>
      <c r="D5" s="4" t="s">
        <v>14</v>
      </c>
      <c r="E5" s="3" t="str" cm="1">
        <f t="array" aca="1" ref="E5" ca="1">INDEX($A$2:$A$6, RANDBETWEEN(1, 5))</f>
        <v>Директор</v>
      </c>
      <c r="F5" s="1">
        <f ca="1">[1]Январь1!F2 + RANDBETWEEN(-5000, 5000)</f>
        <v>8833</v>
      </c>
      <c r="G5" s="1">
        <f t="shared" ca="1" si="0"/>
        <v>19302</v>
      </c>
      <c r="H5" s="1">
        <f t="shared" ca="1" si="1"/>
        <v>28135</v>
      </c>
    </row>
    <row r="6" spans="1:8" ht="15.75">
      <c r="A6" s="3" t="s">
        <v>6</v>
      </c>
      <c r="B6" s="3">
        <v>30000</v>
      </c>
      <c r="C6" s="1"/>
      <c r="D6" s="4" t="s">
        <v>15</v>
      </c>
      <c r="E6" s="3" t="str" cm="1">
        <f t="array" aca="1" ref="E6" ca="1">INDEX($A$2:$A$6, RANDBETWEEN(1, 5))</f>
        <v>Бариста</v>
      </c>
      <c r="F6" s="1">
        <f ca="1">[1]Январь1!F6 + RANDBETWEEN(-5000, 5000)</f>
        <v>-4315</v>
      </c>
      <c r="G6" s="1">
        <f t="shared" ca="1" si="0"/>
        <v>21879</v>
      </c>
      <c r="H6" s="1">
        <f t="shared" ca="1" si="1"/>
        <v>17564</v>
      </c>
    </row>
    <row r="7" spans="1:8" ht="15.75">
      <c r="A7" s="1"/>
      <c r="B7" s="1"/>
      <c r="C7" s="1"/>
      <c r="D7" s="4" t="s">
        <v>16</v>
      </c>
      <c r="E7" s="3" t="str" cm="1">
        <f t="array" aca="1" ref="E7" ca="1">INDEX($A$2:$A$6, RANDBETWEEN(1, 5))</f>
        <v>Бариста</v>
      </c>
      <c r="F7" s="1">
        <f ca="1">[1]Январь1!F7 + RANDBETWEEN(-5000, 5000)</f>
        <v>62163</v>
      </c>
      <c r="G7" s="1">
        <f t="shared" ca="1" si="0"/>
        <v>21649</v>
      </c>
      <c r="H7" s="1">
        <f t="shared" ca="1" si="1"/>
        <v>83812</v>
      </c>
    </row>
    <row r="8" spans="1:8" ht="15.75">
      <c r="A8" s="1"/>
      <c r="B8" s="1"/>
      <c r="C8" s="1"/>
      <c r="D8" s="4" t="s">
        <v>17</v>
      </c>
      <c r="E8" s="3" t="str" cm="1">
        <f t="array" aca="1" ref="E8" ca="1">INDEX($A$2:$A$6, RANDBETWEEN(1, 5))</f>
        <v>Уборщик</v>
      </c>
      <c r="F8" s="1">
        <f ca="1">[1]Январь1!F8 + RANDBETWEEN(-5000, 5000)</f>
        <v>48252</v>
      </c>
      <c r="G8" s="1">
        <f t="shared" ca="1" si="0"/>
        <v>17019</v>
      </c>
      <c r="H8" s="1">
        <f t="shared" ca="1" si="1"/>
        <v>65271</v>
      </c>
    </row>
    <row r="9" spans="1:8" ht="15.75">
      <c r="A9" s="1"/>
      <c r="B9" s="1"/>
      <c r="C9" s="1"/>
      <c r="D9" s="4" t="s">
        <v>18</v>
      </c>
      <c r="E9" s="3" t="str" cm="1">
        <f t="array" aca="1" ref="E9" ca="1">INDEX($A$2:$A$6, RANDBETWEEN(1, 5))</f>
        <v>Директор</v>
      </c>
      <c r="F9" s="1">
        <f ca="1">[1]Январь1!F9 + RANDBETWEEN(-5000, 5000)</f>
        <v>46376</v>
      </c>
      <c r="G9" s="1">
        <f t="shared" ca="1" si="0"/>
        <v>17211</v>
      </c>
      <c r="H9" s="1">
        <f t="shared" ca="1" si="1"/>
        <v>63587</v>
      </c>
    </row>
    <row r="10" spans="1:8" ht="15.75">
      <c r="A10" s="1"/>
      <c r="B10" s="1"/>
      <c r="C10" s="1"/>
      <c r="D10" s="4" t="s">
        <v>19</v>
      </c>
      <c r="E10" s="3" t="str" cm="1">
        <f t="array" aca="1" ref="E10" ca="1">INDEX($A$2:$A$6, RANDBETWEEN(1, 5))</f>
        <v>Кассир</v>
      </c>
      <c r="F10" s="1">
        <f ca="1">[1]Январь1!F10 + RANDBETWEEN(-5000, 5000)</f>
        <v>46310</v>
      </c>
      <c r="G10" s="1">
        <f t="shared" ca="1" si="0"/>
        <v>19132</v>
      </c>
      <c r="H10" s="1">
        <f t="shared" ca="1" si="1"/>
        <v>65442</v>
      </c>
    </row>
    <row r="11" spans="1:8" ht="15.75">
      <c r="A11" s="1"/>
      <c r="B11" s="1"/>
      <c r="C11" s="1"/>
      <c r="D11" s="4" t="s">
        <v>20</v>
      </c>
      <c r="E11" s="3" t="str" cm="1">
        <f t="array" aca="1" ref="E11" ca="1">INDEX($A$2:$A$6, RANDBETWEEN(1, 5))</f>
        <v>Кассир</v>
      </c>
      <c r="F11" s="1">
        <f ca="1">[1]Январь1!F11 + RANDBETWEEN(-5000, 5000)</f>
        <v>45542</v>
      </c>
      <c r="G11" s="1">
        <f t="shared" ca="1" si="0"/>
        <v>18580</v>
      </c>
      <c r="H11" s="1">
        <f t="shared" ca="1" si="1"/>
        <v>64122</v>
      </c>
    </row>
    <row r="12" spans="1:8" ht="15.75">
      <c r="A12" s="1"/>
      <c r="B12" s="1"/>
      <c r="C12" s="1"/>
      <c r="D12" s="4" t="s">
        <v>22</v>
      </c>
      <c r="E12" s="3" t="str" cm="1">
        <f t="array" aca="1" ref="E12" ca="1">INDEX($A$2:$A$6, RANDBETWEEN(1, 5))</f>
        <v>Директор</v>
      </c>
      <c r="F12" s="1">
        <f ca="1">[1]Январь1!F12 + RANDBETWEEN(-5000, 5000)</f>
        <v>33490</v>
      </c>
      <c r="G12" s="1">
        <f t="shared" ca="1" si="0"/>
        <v>13631</v>
      </c>
      <c r="H12" s="1">
        <f t="shared" ca="1" si="1"/>
        <v>47121</v>
      </c>
    </row>
    <row r="13" spans="1:8" ht="15.75">
      <c r="A13" s="1"/>
      <c r="B13" s="1"/>
      <c r="C13" s="1"/>
      <c r="D13" s="4" t="s">
        <v>21</v>
      </c>
      <c r="E13" s="3" t="str" cm="1">
        <f t="array" aca="1" ref="E13" ca="1">INDEX($A$2:$A$6, RANDBETWEEN(1, 5))</f>
        <v>Уборщик</v>
      </c>
      <c r="F13" s="1">
        <f ca="1">[1]Январь1!F13 + RANDBETWEEN(-5000, 5000)</f>
        <v>26818</v>
      </c>
      <c r="G13" s="1">
        <f t="shared" ca="1" si="0"/>
        <v>18995</v>
      </c>
      <c r="H13" s="1">
        <f t="shared" ca="1" si="1"/>
        <v>45813</v>
      </c>
    </row>
    <row r="14" spans="1:8" ht="15.75">
      <c r="A14" s="1"/>
      <c r="B14" s="1"/>
      <c r="C14" s="1"/>
      <c r="D14" s="4" t="s">
        <v>23</v>
      </c>
      <c r="E14" s="3" t="str" cm="1">
        <f t="array" aca="1" ref="E14" ca="1">INDEX($A$2:$A$6, RANDBETWEEN(1, 5))</f>
        <v>Уборщик</v>
      </c>
      <c r="F14" s="1">
        <f ca="1">[1]Январь1!F14 + RANDBETWEEN(-5000, 5000)</f>
        <v>99085</v>
      </c>
      <c r="G14" s="1">
        <f t="shared" ca="1" si="0"/>
        <v>12268</v>
      </c>
      <c r="H14" s="1">
        <f t="shared" ca="1" si="1"/>
        <v>111353</v>
      </c>
    </row>
    <row r="15" spans="1:8" ht="15.75">
      <c r="A15" s="1"/>
      <c r="B15" s="1"/>
      <c r="C15" s="1"/>
      <c r="D15" s="4" t="s">
        <v>24</v>
      </c>
      <c r="E15" s="3" t="str" cm="1">
        <f t="array" aca="1" ref="E15" ca="1">INDEX($A$2:$A$6, RANDBETWEEN(1, 5))</f>
        <v>Бариста</v>
      </c>
      <c r="F15" s="1">
        <f ca="1">[1]Январь1!F15 + RANDBETWEEN(-5000, 5000)</f>
        <v>42029</v>
      </c>
      <c r="G15" s="1">
        <f t="shared" ca="1" si="0"/>
        <v>17487</v>
      </c>
      <c r="H15" s="1">
        <f t="shared" ca="1" si="1"/>
        <v>59516</v>
      </c>
    </row>
    <row r="16" spans="1:8" ht="15.75">
      <c r="A16" s="1"/>
      <c r="B16" s="1"/>
      <c r="C16" s="1"/>
      <c r="D16" s="4" t="s">
        <v>25</v>
      </c>
      <c r="E16" s="3" t="str" cm="1">
        <f t="array" aca="1" ref="E16" ca="1">INDEX($A$2:$A$6, RANDBETWEEN(1, 5))</f>
        <v>Директор</v>
      </c>
      <c r="F16" s="1">
        <f ca="1">[1]Январь1!F16 + RANDBETWEEN(-5000, 5000)</f>
        <v>48060</v>
      </c>
      <c r="G16" s="1">
        <f t="shared" ca="1" si="0"/>
        <v>8091</v>
      </c>
      <c r="H16" s="1">
        <f t="shared" ca="1" si="1"/>
        <v>56151</v>
      </c>
    </row>
    <row r="17" spans="1:8" ht="15.75">
      <c r="A17" s="1"/>
      <c r="B17" s="1"/>
      <c r="C17" s="1"/>
      <c r="D17" s="4" t="s">
        <v>26</v>
      </c>
      <c r="E17" s="3" t="str" cm="1">
        <f t="array" aca="1" ref="E17" ca="1">INDEX($A$2:$A$6, RANDBETWEEN(1, 5))</f>
        <v>Кассир</v>
      </c>
      <c r="F17" s="1">
        <f ca="1">[1]Январь1!F17 + RANDBETWEEN(-5000, 5000)</f>
        <v>58277</v>
      </c>
      <c r="G17" s="1">
        <f t="shared" ca="1" si="0"/>
        <v>7814</v>
      </c>
      <c r="H17" s="1">
        <f t="shared" ca="1" si="1"/>
        <v>66091</v>
      </c>
    </row>
    <row r="18" spans="1:8" ht="15.75">
      <c r="A18" s="1"/>
      <c r="B18" s="1"/>
      <c r="C18" s="1"/>
      <c r="D18" s="4" t="s">
        <v>27</v>
      </c>
      <c r="E18" s="3" t="str" cm="1">
        <f t="array" aca="1" ref="E18" ca="1">INDEX($A$2:$A$6, RANDBETWEEN(1, 5))</f>
        <v>Кассир</v>
      </c>
      <c r="F18" s="1">
        <f ca="1">[1]Январь1!F18 + RANDBETWEEN(-5000, 5000)</f>
        <v>96249</v>
      </c>
      <c r="G18" s="1">
        <f t="shared" ca="1" si="0"/>
        <v>18828</v>
      </c>
      <c r="H18" s="1">
        <f t="shared" ca="1" si="1"/>
        <v>115077</v>
      </c>
    </row>
    <row r="19" spans="1:8" ht="15.75">
      <c r="A19" s="1"/>
      <c r="B19" s="1"/>
      <c r="C19" s="1"/>
      <c r="D19" s="4" t="s">
        <v>28</v>
      </c>
      <c r="E19" s="3" t="str" cm="1">
        <f t="array" aca="1" ref="E19" ca="1">INDEX($A$2:$A$6, RANDBETWEEN(1, 5))</f>
        <v>Кассир</v>
      </c>
      <c r="F19" s="1">
        <f ca="1">[1]Январь1!F19 + RANDBETWEEN(-5000, 5000)</f>
        <v>92238</v>
      </c>
      <c r="G19" s="1">
        <f t="shared" ca="1" si="0"/>
        <v>11229</v>
      </c>
      <c r="H19" s="1">
        <f t="shared" ca="1" si="1"/>
        <v>103467</v>
      </c>
    </row>
    <row r="20" spans="1:8" ht="15.75">
      <c r="A20" s="1"/>
      <c r="B20" s="1"/>
      <c r="C20" s="1"/>
      <c r="D20" s="4" t="s">
        <v>29</v>
      </c>
      <c r="E20" s="3" t="str" cm="1">
        <f t="array" aca="1" ref="E20" ca="1">INDEX($A$2:$A$6, RANDBETWEEN(1, 5))</f>
        <v>Бариста</v>
      </c>
      <c r="F20" s="1">
        <f ca="1">[1]Январь1!F20 + RANDBETWEEN(-5000, 5000)</f>
        <v>34627</v>
      </c>
      <c r="G20" s="1">
        <f t="shared" ca="1" si="0"/>
        <v>16417</v>
      </c>
      <c r="H20" s="1">
        <f t="shared" ca="1" si="1"/>
        <v>51044</v>
      </c>
    </row>
    <row r="21" spans="1:8" ht="15.75">
      <c r="A21" s="1"/>
      <c r="B21" s="1"/>
      <c r="C21" s="1"/>
      <c r="D21" s="4" t="s">
        <v>30</v>
      </c>
      <c r="E21" s="3" t="str" cm="1">
        <f t="array" aca="1" ref="E21" ca="1">INDEX($A$2:$A$6, RANDBETWEEN(1, 5))</f>
        <v>Кассир</v>
      </c>
      <c r="F21" s="1">
        <f ca="1">[1]Январь1!F21 + RANDBETWEEN(-5000, 5000)</f>
        <v>38161</v>
      </c>
      <c r="G21" s="1">
        <f t="shared" ca="1" si="0"/>
        <v>21360</v>
      </c>
      <c r="H21" s="1">
        <f t="shared" ca="1" si="1"/>
        <v>59521</v>
      </c>
    </row>
    <row r="22" spans="1:8" ht="15.75">
      <c r="A22" s="1"/>
      <c r="B22" s="1"/>
      <c r="C22" s="1"/>
      <c r="D22" s="4" t="s">
        <v>31</v>
      </c>
      <c r="E22" s="3" t="str" cm="1">
        <f t="array" aca="1" ref="E22" ca="1">INDEX($A$2:$A$6, RANDBETWEEN(1, 5))</f>
        <v>Бариста</v>
      </c>
      <c r="F22" s="1">
        <f ca="1">[1]Январь1!F22 + RANDBETWEEN(-5000, 5000)</f>
        <v>40367</v>
      </c>
      <c r="G22" s="1">
        <f t="shared" ca="1" si="0"/>
        <v>7719</v>
      </c>
      <c r="H22" s="1">
        <f t="shared" ca="1" si="1"/>
        <v>48086</v>
      </c>
    </row>
    <row r="23" spans="1:8" ht="15.75">
      <c r="A23" s="1"/>
      <c r="B23" s="1"/>
      <c r="C23" s="1"/>
      <c r="D23" s="4" t="s">
        <v>32</v>
      </c>
      <c r="E23" s="3" t="str" cm="1">
        <f t="array" aca="1" ref="E23" ca="1">INDEX($A$2:$A$6, RANDBETWEEN(1, 5))</f>
        <v>Уборщик</v>
      </c>
      <c r="F23" s="1">
        <f ca="1">[1]Январь1!F23 + RANDBETWEEN(-5000, 5000)</f>
        <v>50739</v>
      </c>
      <c r="G23" s="1">
        <f t="shared" ca="1" si="0"/>
        <v>6472</v>
      </c>
      <c r="H23" s="1">
        <f t="shared" ca="1" si="1"/>
        <v>57211</v>
      </c>
    </row>
    <row r="24" spans="1:8" ht="15.75">
      <c r="A24" s="1"/>
      <c r="B24" s="1"/>
      <c r="C24" s="1"/>
      <c r="D24" s="4" t="s">
        <v>33</v>
      </c>
      <c r="E24" s="3" t="str" cm="1">
        <f t="array" aca="1" ref="E24" ca="1">INDEX($A$2:$A$6, RANDBETWEEN(1, 5))</f>
        <v>Директор</v>
      </c>
      <c r="F24" s="1">
        <f ca="1">[1]Январь1!F24 + RANDBETWEEN(-5000, 5000)</f>
        <v>45357</v>
      </c>
      <c r="G24" s="1">
        <f t="shared" ca="1" si="0"/>
        <v>8967</v>
      </c>
      <c r="H24" s="1">
        <f t="shared" ca="1" si="1"/>
        <v>54324</v>
      </c>
    </row>
    <row r="25" spans="1:8" ht="15.75">
      <c r="A25" s="1"/>
      <c r="B25" s="1"/>
      <c r="C25" s="1"/>
      <c r="D25" s="4" t="s">
        <v>34</v>
      </c>
      <c r="E25" s="3" t="str" cm="1">
        <f t="array" aca="1" ref="E25" ca="1">INDEX($A$2:$A$6, RANDBETWEEN(1, 5))</f>
        <v>Директор</v>
      </c>
      <c r="F25" s="1">
        <f ca="1">[1]Январь1!F25 + RANDBETWEEN(-5000, 5000)</f>
        <v>68101</v>
      </c>
      <c r="G25" s="1">
        <f t="shared" ca="1" si="0"/>
        <v>9876</v>
      </c>
      <c r="H25" s="1">
        <f t="shared" ca="1" si="1"/>
        <v>77977</v>
      </c>
    </row>
    <row r="26" spans="1:8" ht="15.75">
      <c r="A26" s="1"/>
      <c r="B26" s="1"/>
      <c r="C26" s="1"/>
      <c r="D26" s="4" t="s">
        <v>35</v>
      </c>
      <c r="E26" s="3" t="str" cm="1">
        <f t="array" aca="1" ref="E26" ca="1">INDEX($A$2:$A$6, RANDBETWEEN(1, 5))</f>
        <v>Бариста</v>
      </c>
      <c r="F26" s="1">
        <f ca="1">[1]Январь1!F26 + RANDBETWEEN(-5000, 5000)</f>
        <v>32762</v>
      </c>
      <c r="G26" s="1">
        <f t="shared" ca="1" si="0"/>
        <v>16993</v>
      </c>
      <c r="H26" s="1">
        <f t="shared" ca="1" si="1"/>
        <v>49755</v>
      </c>
    </row>
    <row r="27" spans="1:8" ht="15.75">
      <c r="A27" s="1"/>
      <c r="B27" s="1"/>
      <c r="C27" s="1"/>
      <c r="D27" s="4" t="s">
        <v>36</v>
      </c>
      <c r="E27" s="3" t="str" cm="1">
        <f t="array" aca="1" ref="E27" ca="1">INDEX($A$2:$A$6, RANDBETWEEN(1, 5))</f>
        <v>Кассир</v>
      </c>
      <c r="F27" s="1">
        <f ca="1">[1]Январь1!F27 + RANDBETWEEN(-5000, 5000)</f>
        <v>60009</v>
      </c>
      <c r="G27" s="1">
        <f t="shared" ca="1" si="0"/>
        <v>18444</v>
      </c>
      <c r="H27" s="1">
        <f t="shared" ca="1" si="1"/>
        <v>78453</v>
      </c>
    </row>
    <row r="28" spans="1:8" ht="15.75">
      <c r="A28" s="1"/>
      <c r="B28" s="1"/>
      <c r="C28" s="1"/>
      <c r="D28" s="4" t="s">
        <v>37</v>
      </c>
      <c r="E28" s="3" t="str" cm="1">
        <f t="array" aca="1" ref="E28" ca="1">INDEX($A$2:$A$6, RANDBETWEEN(1, 5))</f>
        <v>Уборщик</v>
      </c>
      <c r="F28" s="1">
        <f ca="1">[1]Январь1!F28 + RANDBETWEEN(-5000, 5000)</f>
        <v>36967</v>
      </c>
      <c r="G28" s="1">
        <f t="shared" ca="1" si="0"/>
        <v>9324</v>
      </c>
      <c r="H28" s="1">
        <f t="shared" ca="1" si="1"/>
        <v>46291</v>
      </c>
    </row>
    <row r="29" spans="1:8" ht="15.75">
      <c r="A29" s="1"/>
      <c r="B29" s="1"/>
      <c r="C29" s="1"/>
      <c r="D29" s="4" t="s">
        <v>38</v>
      </c>
      <c r="E29" s="3" t="str" cm="1">
        <f t="array" aca="1" ref="E29" ca="1">INDEX($A$2:$A$6, RANDBETWEEN(1, 5))</f>
        <v>Менджер</v>
      </c>
      <c r="F29" s="1">
        <f ca="1">[1]Январь1!F29 + RANDBETWEEN(-5000, 5000)</f>
        <v>26074</v>
      </c>
      <c r="G29" s="1">
        <f t="shared" ca="1" si="0"/>
        <v>16648</v>
      </c>
      <c r="H29" s="1">
        <f t="shared" ca="1" si="1"/>
        <v>42722</v>
      </c>
    </row>
    <row r="30" spans="1:8" ht="15.75">
      <c r="A30" s="1"/>
      <c r="B30" s="1"/>
      <c r="C30" s="1"/>
      <c r="D30" s="4" t="s">
        <v>39</v>
      </c>
      <c r="E30" s="3" t="str" cm="1">
        <f t="array" aca="1" ref="E30" ca="1">INDEX($A$2:$A$6, RANDBETWEEN(1, 5))</f>
        <v>Менджер</v>
      </c>
      <c r="F30" s="1">
        <f ca="1">[1]Январь1!F30 + RANDBETWEEN(-5000, 5000)</f>
        <v>58694</v>
      </c>
      <c r="G30" s="1">
        <f t="shared" ca="1" si="0"/>
        <v>20434</v>
      </c>
      <c r="H30" s="1">
        <f t="shared" ca="1" si="1"/>
        <v>79128</v>
      </c>
    </row>
    <row r="31" spans="1:8" ht="15.75">
      <c r="A31" s="1"/>
      <c r="B31" s="1"/>
      <c r="C31" s="1"/>
      <c r="D31" s="4" t="s">
        <v>40</v>
      </c>
      <c r="E31" s="3" t="str" cm="1">
        <f t="array" aca="1" ref="E31" ca="1">INDEX($A$2:$A$6, RANDBETWEEN(1, 5))</f>
        <v>Уборщик</v>
      </c>
      <c r="F31" s="1">
        <f ca="1">[1]Январь1!F31 + RANDBETWEEN(-5000, 5000)</f>
        <v>51645</v>
      </c>
      <c r="G31" s="1">
        <f t="shared" ca="1" si="0"/>
        <v>6235</v>
      </c>
      <c r="H31" s="1">
        <f t="shared" ca="1" si="1"/>
        <v>57880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47AB-E77B-484F-A4B5-4CCC7BDB6CA2}">
  <dimension ref="A1:Y31"/>
  <sheetViews>
    <sheetView tabSelected="1" topLeftCell="H1" zoomScale="70" zoomScaleNormal="70" workbookViewId="0">
      <selection activeCell="N6" activeCellId="11" sqref="A6 A11 A16 A21 A26 A31 N31 N26 N21 N16 N11 N6"/>
    </sheetView>
  </sheetViews>
  <sheetFormatPr defaultRowHeight="14.25"/>
  <cols>
    <col min="1" max="1" width="32" customWidth="1"/>
    <col min="14" max="14" width="12.5" customWidth="1"/>
  </cols>
  <sheetData>
    <row r="1" spans="1:25" ht="15.75">
      <c r="A1" s="4" t="s">
        <v>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5" t="s">
        <v>53</v>
      </c>
    </row>
    <row r="2" spans="1:25" ht="15.75">
      <c r="A2" s="4" t="s">
        <v>12</v>
      </c>
      <c r="B2" s="4">
        <f>[1]Январь1!$H2</f>
        <v>12276</v>
      </c>
      <c r="C2" s="4">
        <f ca="1">Февраль!$H2</f>
        <v>42668</v>
      </c>
      <c r="D2" s="4">
        <f ca="1">Март!$H2</f>
        <v>25415</v>
      </c>
      <c r="E2" s="4">
        <f ca="1">Апрель!$H2</f>
        <v>12227</v>
      </c>
      <c r="F2" s="4">
        <f ca="1">Май!$H2</f>
        <v>14701</v>
      </c>
      <c r="G2" s="4">
        <f ca="1">Июнь!$H2</f>
        <v>9314</v>
      </c>
      <c r="H2" s="4">
        <f ca="1">Июль!$H2</f>
        <v>10685</v>
      </c>
      <c r="I2" s="4">
        <f ca="1">Август!$H2</f>
        <v>6990</v>
      </c>
      <c r="J2" s="4">
        <f ca="1">Сентябрь!$H2</f>
        <v>16809</v>
      </c>
      <c r="K2" s="4">
        <f ca="1">Октябрь!$H2</f>
        <v>9954</v>
      </c>
      <c r="L2" s="4">
        <f ca="1">Ноябрь!$H2</f>
        <v>21600</v>
      </c>
      <c r="M2" s="4">
        <f ca="1">Декабрь!$H2</f>
        <v>20957</v>
      </c>
      <c r="N2" s="4" cm="1">
        <f t="array" aca="1" ref="N2:Y2" ca="1">B2:M2</f>
        <v>12276</v>
      </c>
      <c r="O2" s="4">
        <f ca="1"/>
        <v>42668</v>
      </c>
      <c r="P2" s="4">
        <f ca="1"/>
        <v>25415</v>
      </c>
      <c r="Q2" s="4">
        <f ca="1"/>
        <v>12227</v>
      </c>
      <c r="R2" s="4">
        <f ca="1"/>
        <v>14701</v>
      </c>
      <c r="S2" s="4">
        <f ca="1"/>
        <v>9314</v>
      </c>
      <c r="T2" s="4">
        <f ca="1"/>
        <v>10685</v>
      </c>
      <c r="U2" s="4">
        <f ca="1"/>
        <v>6990</v>
      </c>
      <c r="V2" s="4">
        <f ca="1"/>
        <v>16809</v>
      </c>
      <c r="W2" s="4">
        <f ca="1"/>
        <v>9954</v>
      </c>
      <c r="X2" s="4">
        <f ca="1"/>
        <v>21600</v>
      </c>
      <c r="Y2" s="4">
        <f ca="1"/>
        <v>20957</v>
      </c>
    </row>
    <row r="3" spans="1:25" ht="15.75">
      <c r="A3" s="4" t="s">
        <v>11</v>
      </c>
      <c r="B3" s="4">
        <f>[1]Январь1!$H3</f>
        <v>12986</v>
      </c>
      <c r="C3" s="4">
        <f ca="1">Февраль!$H3</f>
        <v>37341</v>
      </c>
      <c r="D3" s="4">
        <f ca="1">Март!$H3</f>
        <v>9090</v>
      </c>
      <c r="E3" s="4">
        <f ca="1">Апрель!$H3</f>
        <v>12934</v>
      </c>
      <c r="F3" s="4">
        <f ca="1">Май!$H3</f>
        <v>9724</v>
      </c>
      <c r="G3" s="4">
        <f ca="1">Июнь!$H3</f>
        <v>9025</v>
      </c>
      <c r="H3" s="4">
        <f ca="1">Июль!$H3</f>
        <v>2849</v>
      </c>
      <c r="I3" s="4">
        <f ca="1">Август!$H3</f>
        <v>18140</v>
      </c>
      <c r="J3" s="4">
        <f ca="1">Сентябрь!$H3</f>
        <v>10848</v>
      </c>
      <c r="K3" s="4">
        <f ca="1">Октябрь!$H3</f>
        <v>9975</v>
      </c>
      <c r="L3" s="4">
        <f ca="1">Ноябрь!$H3</f>
        <v>16439</v>
      </c>
      <c r="M3" s="4">
        <f ca="1">Декабрь!$H3</f>
        <v>12579</v>
      </c>
      <c r="N3" s="4" cm="1">
        <f t="array" aca="1" ref="N3:Y3" ca="1">B3:M3</f>
        <v>12986</v>
      </c>
      <c r="O3" s="4">
        <f ca="1"/>
        <v>37341</v>
      </c>
      <c r="P3" s="4">
        <f ca="1"/>
        <v>9090</v>
      </c>
      <c r="Q3" s="4">
        <f ca="1"/>
        <v>12934</v>
      </c>
      <c r="R3" s="4">
        <f ca="1"/>
        <v>9724</v>
      </c>
      <c r="S3" s="4">
        <f ca="1"/>
        <v>9025</v>
      </c>
      <c r="T3" s="4">
        <f ca="1"/>
        <v>2849</v>
      </c>
      <c r="U3" s="4">
        <f ca="1"/>
        <v>18140</v>
      </c>
      <c r="V3" s="4">
        <f ca="1"/>
        <v>10848</v>
      </c>
      <c r="W3" s="4">
        <f ca="1"/>
        <v>9975</v>
      </c>
      <c r="X3" s="4">
        <f ca="1"/>
        <v>16439</v>
      </c>
      <c r="Y3" s="4">
        <f ca="1"/>
        <v>12579</v>
      </c>
    </row>
    <row r="4" spans="1:25" ht="15.75">
      <c r="A4" s="4" t="s">
        <v>13</v>
      </c>
      <c r="B4" s="4">
        <f>[1]Январь1!$H4</f>
        <v>2444</v>
      </c>
      <c r="C4" s="4">
        <f ca="1">Февраль!$H4</f>
        <v>23909</v>
      </c>
      <c r="D4" s="4">
        <f ca="1">Март!$H4</f>
        <v>13373</v>
      </c>
      <c r="E4" s="4">
        <f ca="1">Апрель!$H4</f>
        <v>11160</v>
      </c>
      <c r="F4" s="4">
        <f ca="1">Май!$H4</f>
        <v>1762</v>
      </c>
      <c r="G4" s="4">
        <f ca="1">Июнь!$H4</f>
        <v>1417</v>
      </c>
      <c r="H4" s="4">
        <f ca="1">Июль!$H4</f>
        <v>2995</v>
      </c>
      <c r="I4" s="4">
        <f ca="1">Август!$H4</f>
        <v>9973</v>
      </c>
      <c r="J4" s="4">
        <f ca="1">Сентябрь!$H4</f>
        <v>7623</v>
      </c>
      <c r="K4" s="4">
        <f ca="1">Октябрь!$H4</f>
        <v>10537</v>
      </c>
      <c r="L4" s="4">
        <f ca="1">Ноябрь!$H4</f>
        <v>14529</v>
      </c>
      <c r="M4" s="4">
        <f ca="1">Декабрь!$H4</f>
        <v>-1237</v>
      </c>
      <c r="N4" s="4" cm="1">
        <f t="array" aca="1" ref="N4:Y4" ca="1">B4:M4</f>
        <v>2444</v>
      </c>
      <c r="O4" s="4">
        <f ca="1"/>
        <v>23909</v>
      </c>
      <c r="P4" s="4">
        <f ca="1"/>
        <v>13373</v>
      </c>
      <c r="Q4" s="4">
        <f ca="1"/>
        <v>11160</v>
      </c>
      <c r="R4" s="4">
        <f ca="1"/>
        <v>1762</v>
      </c>
      <c r="S4" s="4">
        <f ca="1"/>
        <v>1417</v>
      </c>
      <c r="T4" s="4">
        <f ca="1"/>
        <v>2995</v>
      </c>
      <c r="U4" s="4">
        <f ca="1"/>
        <v>9973</v>
      </c>
      <c r="V4" s="4">
        <f ca="1"/>
        <v>7623</v>
      </c>
      <c r="W4" s="4">
        <f ca="1"/>
        <v>10537</v>
      </c>
      <c r="X4" s="4">
        <f ca="1"/>
        <v>14529</v>
      </c>
      <c r="Y4" s="4">
        <f ca="1"/>
        <v>-1237</v>
      </c>
    </row>
    <row r="5" spans="1:25" ht="15.75">
      <c r="A5" s="4" t="s">
        <v>14</v>
      </c>
      <c r="B5" s="4">
        <f>[1]Январь1!$H5</f>
        <v>18627</v>
      </c>
      <c r="C5" s="4">
        <f ca="1">Февраль!$H5</f>
        <v>45572</v>
      </c>
      <c r="D5" s="4">
        <f ca="1">Март!$H5</f>
        <v>35456</v>
      </c>
      <c r="E5" s="4">
        <f ca="1">Апрель!$H5</f>
        <v>19494</v>
      </c>
      <c r="F5" s="4">
        <f ca="1">Май!$H5</f>
        <v>18311</v>
      </c>
      <c r="G5" s="4">
        <f ca="1">Июнь!$H5</f>
        <v>15575</v>
      </c>
      <c r="H5" s="4">
        <f ca="1">Июль!$H5</f>
        <v>15499</v>
      </c>
      <c r="I5" s="4">
        <f ca="1">Август!$H5</f>
        <v>17782</v>
      </c>
      <c r="J5" s="4">
        <f ca="1">Сентябрь!$H5</f>
        <v>10117</v>
      </c>
      <c r="K5" s="4">
        <f ca="1">Октябрь!$H5</f>
        <v>17049</v>
      </c>
      <c r="L5" s="4">
        <f ca="1">Ноябрь!$H5</f>
        <v>28016</v>
      </c>
      <c r="M5" s="4">
        <f ca="1">Декабрь!$H5</f>
        <v>28135</v>
      </c>
      <c r="N5" s="4" cm="1">
        <f t="array" aca="1" ref="N5:Y5" ca="1">B5:M5</f>
        <v>18627</v>
      </c>
      <c r="O5" s="4">
        <f ca="1"/>
        <v>45572</v>
      </c>
      <c r="P5" s="4">
        <f ca="1"/>
        <v>35456</v>
      </c>
      <c r="Q5" s="4">
        <f ca="1"/>
        <v>19494</v>
      </c>
      <c r="R5" s="4">
        <f ca="1"/>
        <v>18311</v>
      </c>
      <c r="S5" s="4">
        <f ca="1"/>
        <v>15575</v>
      </c>
      <c r="T5" s="4">
        <f ca="1"/>
        <v>15499</v>
      </c>
      <c r="U5" s="4">
        <f ca="1"/>
        <v>17782</v>
      </c>
      <c r="V5" s="4">
        <f ca="1"/>
        <v>10117</v>
      </c>
      <c r="W5" s="4">
        <f ca="1"/>
        <v>17049</v>
      </c>
      <c r="X5" s="4">
        <f ca="1"/>
        <v>28016</v>
      </c>
      <c r="Y5" s="4">
        <f ca="1"/>
        <v>28135</v>
      </c>
    </row>
    <row r="6" spans="1:25" ht="15.75">
      <c r="A6" s="4" t="s">
        <v>15</v>
      </c>
      <c r="B6" s="4">
        <f>[1]Январь1!$H6</f>
        <v>7815</v>
      </c>
      <c r="C6" s="4">
        <f ca="1">Февраль!$H6</f>
        <v>40544</v>
      </c>
      <c r="D6" s="4">
        <f ca="1">Март!$H6</f>
        <v>16619</v>
      </c>
      <c r="E6" s="4">
        <f ca="1">Апрель!$H6</f>
        <v>9804</v>
      </c>
      <c r="F6" s="4">
        <f ca="1">Май!$H6</f>
        <v>9104</v>
      </c>
      <c r="G6" s="4">
        <f ca="1">Июнь!$H6</f>
        <v>9304</v>
      </c>
      <c r="H6" s="4">
        <f ca="1">Июль!$H6</f>
        <v>18020</v>
      </c>
      <c r="I6" s="4">
        <f ca="1">Август!$H6</f>
        <v>23027</v>
      </c>
      <c r="J6" s="4">
        <f ca="1">Сентябрь!$H6</f>
        <v>10157</v>
      </c>
      <c r="K6" s="4">
        <f ca="1">Октябрь!$H6</f>
        <v>11197</v>
      </c>
      <c r="L6" s="4">
        <f ca="1">Ноябрь!$H6</f>
        <v>9616</v>
      </c>
      <c r="M6" s="4">
        <f ca="1">Декабрь!$H6</f>
        <v>17564</v>
      </c>
      <c r="N6" s="4" cm="1">
        <f t="array" aca="1" ref="N6:Y6" ca="1">B6:M6</f>
        <v>7815</v>
      </c>
      <c r="O6" s="4">
        <f ca="1"/>
        <v>40544</v>
      </c>
      <c r="P6" s="4">
        <f ca="1"/>
        <v>16619</v>
      </c>
      <c r="Q6" s="4">
        <f ca="1"/>
        <v>9804</v>
      </c>
      <c r="R6" s="4">
        <f ca="1"/>
        <v>9104</v>
      </c>
      <c r="S6" s="4">
        <f ca="1"/>
        <v>9304</v>
      </c>
      <c r="T6" s="4">
        <f ca="1"/>
        <v>18020</v>
      </c>
      <c r="U6" s="4">
        <f ca="1"/>
        <v>23027</v>
      </c>
      <c r="V6" s="4">
        <f ca="1"/>
        <v>10157</v>
      </c>
      <c r="W6" s="4">
        <f ca="1"/>
        <v>11197</v>
      </c>
      <c r="X6" s="4">
        <f ca="1"/>
        <v>9616</v>
      </c>
      <c r="Y6" s="4">
        <f ca="1"/>
        <v>17564</v>
      </c>
    </row>
    <row r="7" spans="1:25" ht="15.75">
      <c r="A7" s="4" t="s">
        <v>16</v>
      </c>
      <c r="B7" s="4">
        <f>[1]Январь1!$H7</f>
        <v>65704</v>
      </c>
      <c r="C7" s="4">
        <f ca="1">Февраль!$H7</f>
        <v>88705</v>
      </c>
      <c r="D7" s="4">
        <f ca="1">Март!$H7</f>
        <v>66346</v>
      </c>
      <c r="E7" s="4">
        <f ca="1">Апрель!$H7</f>
        <v>68212</v>
      </c>
      <c r="F7" s="4">
        <f ca="1">Май!$H7</f>
        <v>65186</v>
      </c>
      <c r="G7" s="4">
        <f ca="1">Июнь!$H7</f>
        <v>73267</v>
      </c>
      <c r="H7" s="4">
        <f ca="1">Июль!$H7</f>
        <v>73410</v>
      </c>
      <c r="I7" s="4">
        <f ca="1">Август!$H7</f>
        <v>71398</v>
      </c>
      <c r="J7" s="4">
        <f ca="1">Сентябрь!$H7</f>
        <v>72915</v>
      </c>
      <c r="K7" s="4">
        <f ca="1">Октябрь!$H7</f>
        <v>66456</v>
      </c>
      <c r="L7" s="4">
        <f ca="1">Ноябрь!$H7</f>
        <v>66137</v>
      </c>
      <c r="M7" s="4">
        <f ca="1">Декабрь!$H7</f>
        <v>83812</v>
      </c>
      <c r="N7" s="4" cm="1">
        <f t="array" aca="1" ref="N7:Y7" ca="1">B7:M7</f>
        <v>65704</v>
      </c>
      <c r="O7" s="4">
        <f ca="1"/>
        <v>88705</v>
      </c>
      <c r="P7" s="4">
        <f ca="1"/>
        <v>66346</v>
      </c>
      <c r="Q7" s="4">
        <f ca="1"/>
        <v>68212</v>
      </c>
      <c r="R7" s="4">
        <f ca="1"/>
        <v>65186</v>
      </c>
      <c r="S7" s="4">
        <f ca="1"/>
        <v>73267</v>
      </c>
      <c r="T7" s="4">
        <f ca="1"/>
        <v>73410</v>
      </c>
      <c r="U7" s="4">
        <f ca="1"/>
        <v>71398</v>
      </c>
      <c r="V7" s="4">
        <f ca="1"/>
        <v>72915</v>
      </c>
      <c r="W7" s="4">
        <f ca="1"/>
        <v>66456</v>
      </c>
      <c r="X7" s="4">
        <f ca="1"/>
        <v>66137</v>
      </c>
      <c r="Y7" s="4">
        <f ca="1"/>
        <v>83812</v>
      </c>
    </row>
    <row r="8" spans="1:25" ht="15.75">
      <c r="A8" s="4" t="s">
        <v>17</v>
      </c>
      <c r="B8" s="4">
        <f>[1]Январь1!$H8</f>
        <v>68316</v>
      </c>
      <c r="C8" s="4">
        <f ca="1">Февраль!$H8</f>
        <v>82772</v>
      </c>
      <c r="D8" s="4">
        <f ca="1">Март!$H8</f>
        <v>74896</v>
      </c>
      <c r="E8" s="4">
        <f ca="1">Апрель!$H8</f>
        <v>58591</v>
      </c>
      <c r="F8" s="4">
        <f ca="1">Май!$H8</f>
        <v>59831</v>
      </c>
      <c r="G8" s="4">
        <f ca="1">Июнь!$H8</f>
        <v>55273</v>
      </c>
      <c r="H8" s="4">
        <f ca="1">Июль!$H8</f>
        <v>51486</v>
      </c>
      <c r="I8" s="4">
        <f ca="1">Август!$H8</f>
        <v>59578</v>
      </c>
      <c r="J8" s="4">
        <f ca="1">Сентябрь!$H8</f>
        <v>53437</v>
      </c>
      <c r="K8" s="4">
        <f ca="1">Октябрь!$H8</f>
        <v>53958</v>
      </c>
      <c r="L8" s="4">
        <f ca="1">Ноябрь!$H8</f>
        <v>57059</v>
      </c>
      <c r="M8" s="4">
        <f ca="1">Декабрь!$H8</f>
        <v>65271</v>
      </c>
      <c r="N8" s="4" cm="1">
        <f t="array" aca="1" ref="N8:Y8" ca="1">B8:M8</f>
        <v>68316</v>
      </c>
      <c r="O8" s="4">
        <f ca="1"/>
        <v>82772</v>
      </c>
      <c r="P8" s="4">
        <f ca="1"/>
        <v>74896</v>
      </c>
      <c r="Q8" s="4">
        <f ca="1"/>
        <v>58591</v>
      </c>
      <c r="R8" s="4">
        <f ca="1"/>
        <v>59831</v>
      </c>
      <c r="S8" s="4">
        <f ca="1"/>
        <v>55273</v>
      </c>
      <c r="T8" s="4">
        <f ca="1"/>
        <v>51486</v>
      </c>
      <c r="U8" s="4">
        <f ca="1"/>
        <v>59578</v>
      </c>
      <c r="V8" s="4">
        <f ca="1"/>
        <v>53437</v>
      </c>
      <c r="W8" s="4">
        <f ca="1"/>
        <v>53958</v>
      </c>
      <c r="X8" s="4">
        <f ca="1"/>
        <v>57059</v>
      </c>
      <c r="Y8" s="4">
        <f ca="1"/>
        <v>65271</v>
      </c>
    </row>
    <row r="9" spans="1:25" ht="15.75">
      <c r="A9" s="4" t="s">
        <v>18</v>
      </c>
      <c r="B9" s="4">
        <f>[1]Январь1!$H9</f>
        <v>57959</v>
      </c>
      <c r="C9" s="4">
        <f ca="1">Февраль!$H9</f>
        <v>83046</v>
      </c>
      <c r="D9" s="4">
        <f ca="1">Март!$H9</f>
        <v>75608</v>
      </c>
      <c r="E9" s="4">
        <f ca="1">Апрель!$H9</f>
        <v>57385</v>
      </c>
      <c r="F9" s="4">
        <f ca="1">Май!$H9</f>
        <v>61868</v>
      </c>
      <c r="G9" s="4">
        <f ca="1">Июнь!$H9</f>
        <v>60320</v>
      </c>
      <c r="H9" s="4">
        <f ca="1">Июль!$H9</f>
        <v>57724</v>
      </c>
      <c r="I9" s="4">
        <f ca="1">Август!$H9</f>
        <v>69084</v>
      </c>
      <c r="J9" s="4">
        <f ca="1">Сентябрь!$H9</f>
        <v>64127</v>
      </c>
      <c r="K9" s="4">
        <f ca="1">Октябрь!$H9</f>
        <v>58313</v>
      </c>
      <c r="L9" s="4">
        <f ca="1">Ноябрь!$H9</f>
        <v>64114</v>
      </c>
      <c r="M9" s="4">
        <f ca="1">Декабрь!$H9</f>
        <v>63587</v>
      </c>
      <c r="N9" s="4" cm="1">
        <f t="array" aca="1" ref="N9:Y9" ca="1">B9:M9</f>
        <v>57959</v>
      </c>
      <c r="O9" s="4">
        <f ca="1"/>
        <v>83046</v>
      </c>
      <c r="P9" s="4">
        <f ca="1"/>
        <v>75608</v>
      </c>
      <c r="Q9" s="4">
        <f ca="1"/>
        <v>57385</v>
      </c>
      <c r="R9" s="4">
        <f ca="1"/>
        <v>61868</v>
      </c>
      <c r="S9" s="4">
        <f ca="1"/>
        <v>60320</v>
      </c>
      <c r="T9" s="4">
        <f ca="1"/>
        <v>57724</v>
      </c>
      <c r="U9" s="4">
        <f ca="1"/>
        <v>69084</v>
      </c>
      <c r="V9" s="4">
        <f ca="1"/>
        <v>64127</v>
      </c>
      <c r="W9" s="4">
        <f ca="1"/>
        <v>58313</v>
      </c>
      <c r="X9" s="4">
        <f ca="1"/>
        <v>64114</v>
      </c>
      <c r="Y9" s="4">
        <f ca="1"/>
        <v>63587</v>
      </c>
    </row>
    <row r="10" spans="1:25" ht="15.75">
      <c r="A10" s="4" t="s">
        <v>19</v>
      </c>
      <c r="B10" s="4">
        <f>[1]Январь1!$H10</f>
        <v>54799</v>
      </c>
      <c r="C10" s="4">
        <f ca="1">Февраль!$H10</f>
        <v>84578</v>
      </c>
      <c r="D10" s="4">
        <f ca="1">Март!$H10</f>
        <v>59333</v>
      </c>
      <c r="E10" s="4">
        <f ca="1">Апрель!$H10</f>
        <v>57850</v>
      </c>
      <c r="F10" s="4">
        <f ca="1">Май!$H10</f>
        <v>51332</v>
      </c>
      <c r="G10" s="4">
        <f ca="1">Июнь!$H10</f>
        <v>57525</v>
      </c>
      <c r="H10" s="4">
        <f ca="1">Июль!$H10</f>
        <v>57154</v>
      </c>
      <c r="I10" s="4">
        <f ca="1">Август!$H10</f>
        <v>49052</v>
      </c>
      <c r="J10" s="4">
        <f ca="1">Сентябрь!$H10</f>
        <v>54806</v>
      </c>
      <c r="K10" s="4">
        <f ca="1">Октябрь!$H10</f>
        <v>57943</v>
      </c>
      <c r="L10" s="4">
        <f ca="1">Ноябрь!$H10</f>
        <v>54583</v>
      </c>
      <c r="M10" s="4">
        <f ca="1">Декабрь!$H10</f>
        <v>65442</v>
      </c>
      <c r="N10" s="4" cm="1">
        <f t="array" aca="1" ref="N10:Y10" ca="1">B10:M10</f>
        <v>54799</v>
      </c>
      <c r="O10" s="4">
        <f ca="1"/>
        <v>84578</v>
      </c>
      <c r="P10" s="4">
        <f ca="1"/>
        <v>59333</v>
      </c>
      <c r="Q10" s="4">
        <f ca="1"/>
        <v>57850</v>
      </c>
      <c r="R10" s="4">
        <f ca="1"/>
        <v>51332</v>
      </c>
      <c r="S10" s="4">
        <f ca="1"/>
        <v>57525</v>
      </c>
      <c r="T10" s="4">
        <f ca="1"/>
        <v>57154</v>
      </c>
      <c r="U10" s="4">
        <f ca="1"/>
        <v>49052</v>
      </c>
      <c r="V10" s="4">
        <f ca="1"/>
        <v>54806</v>
      </c>
      <c r="W10" s="4">
        <f ca="1"/>
        <v>57943</v>
      </c>
      <c r="X10" s="4">
        <f ca="1"/>
        <v>54583</v>
      </c>
      <c r="Y10" s="4">
        <f ca="1"/>
        <v>65442</v>
      </c>
    </row>
    <row r="11" spans="1:25" ht="15.75">
      <c r="A11" s="4" t="s">
        <v>20</v>
      </c>
      <c r="B11" s="4">
        <f>[1]Январь1!$H11</f>
        <v>51256</v>
      </c>
      <c r="C11" s="4">
        <f ca="1">Февраль!$H11</f>
        <v>79153</v>
      </c>
      <c r="D11" s="4">
        <f ca="1">Март!$H11</f>
        <v>75580</v>
      </c>
      <c r="E11" s="4">
        <f ca="1">Апрель!$H11</f>
        <v>58090</v>
      </c>
      <c r="F11" s="4">
        <f ca="1">Май!$H11</f>
        <v>53928</v>
      </c>
      <c r="G11" s="4">
        <f ca="1">Июнь!$H11</f>
        <v>55459</v>
      </c>
      <c r="H11" s="4">
        <f ca="1">Июль!$H11</f>
        <v>54253</v>
      </c>
      <c r="I11" s="4">
        <f ca="1">Август!$H11</f>
        <v>58453</v>
      </c>
      <c r="J11" s="4">
        <f ca="1">Сентябрь!$H11</f>
        <v>48543</v>
      </c>
      <c r="K11" s="4">
        <f ca="1">Октябрь!$H11</f>
        <v>56997</v>
      </c>
      <c r="L11" s="4">
        <f ca="1">Ноябрь!$H11</f>
        <v>55330</v>
      </c>
      <c r="M11" s="4">
        <f ca="1">Декабрь!$H11</f>
        <v>64122</v>
      </c>
      <c r="N11" s="4" cm="1">
        <f t="array" aca="1" ref="N11:Y11" ca="1">B11:M11</f>
        <v>51256</v>
      </c>
      <c r="O11" s="4">
        <f ca="1"/>
        <v>79153</v>
      </c>
      <c r="P11" s="4">
        <f ca="1"/>
        <v>75580</v>
      </c>
      <c r="Q11" s="4">
        <f ca="1"/>
        <v>58090</v>
      </c>
      <c r="R11" s="4">
        <f ca="1"/>
        <v>53928</v>
      </c>
      <c r="S11" s="4">
        <f ca="1"/>
        <v>55459</v>
      </c>
      <c r="T11" s="4">
        <f ca="1"/>
        <v>54253</v>
      </c>
      <c r="U11" s="4">
        <f ca="1"/>
        <v>58453</v>
      </c>
      <c r="V11" s="4">
        <f ca="1"/>
        <v>48543</v>
      </c>
      <c r="W11" s="4">
        <f ca="1"/>
        <v>56997</v>
      </c>
      <c r="X11" s="4">
        <f ca="1"/>
        <v>55330</v>
      </c>
      <c r="Y11" s="4">
        <f ca="1"/>
        <v>64122</v>
      </c>
    </row>
    <row r="12" spans="1:25" ht="15.75">
      <c r="A12" s="4" t="s">
        <v>22</v>
      </c>
      <c r="B12" s="4">
        <f>[1]Январь1!$H12</f>
        <v>42685</v>
      </c>
      <c r="C12" s="4">
        <f ca="1">Февраль!$H12</f>
        <v>68875</v>
      </c>
      <c r="D12" s="4">
        <f ca="1">Март!$H12</f>
        <v>54132</v>
      </c>
      <c r="E12" s="4">
        <f ca="1">Апрель!$H12</f>
        <v>42834</v>
      </c>
      <c r="F12" s="4">
        <f ca="1">Май!$H12</f>
        <v>35025</v>
      </c>
      <c r="G12" s="4">
        <f ca="1">Июнь!$H12</f>
        <v>43725</v>
      </c>
      <c r="H12" s="4">
        <f ca="1">Июль!$H12</f>
        <v>31589</v>
      </c>
      <c r="I12" s="4">
        <f ca="1">Август!$H12</f>
        <v>36897</v>
      </c>
      <c r="J12" s="4">
        <f ca="1">Сентябрь!$H12</f>
        <v>47863</v>
      </c>
      <c r="K12" s="4">
        <f ca="1">Октябрь!$H12</f>
        <v>39524</v>
      </c>
      <c r="L12" s="4">
        <f ca="1">Ноябрь!$H12</f>
        <v>50950</v>
      </c>
      <c r="M12" s="4">
        <f ca="1">Декабрь!$H12</f>
        <v>47121</v>
      </c>
      <c r="N12" s="4" cm="1">
        <f t="array" aca="1" ref="N12:Y12" ca="1">B12:M12</f>
        <v>42685</v>
      </c>
      <c r="O12" s="4">
        <f ca="1"/>
        <v>68875</v>
      </c>
      <c r="P12" s="4">
        <f ca="1"/>
        <v>54132</v>
      </c>
      <c r="Q12" s="4">
        <f ca="1"/>
        <v>42834</v>
      </c>
      <c r="R12" s="4">
        <f ca="1"/>
        <v>35025</v>
      </c>
      <c r="S12" s="4">
        <f ca="1"/>
        <v>43725</v>
      </c>
      <c r="T12" s="4">
        <f ca="1"/>
        <v>31589</v>
      </c>
      <c r="U12" s="4">
        <f ca="1"/>
        <v>36897</v>
      </c>
      <c r="V12" s="4">
        <f ca="1"/>
        <v>47863</v>
      </c>
      <c r="W12" s="4">
        <f ca="1"/>
        <v>39524</v>
      </c>
      <c r="X12" s="4">
        <f ca="1"/>
        <v>50950</v>
      </c>
      <c r="Y12" s="4">
        <f ca="1"/>
        <v>47121</v>
      </c>
    </row>
    <row r="13" spans="1:25" ht="15.75">
      <c r="A13" s="4" t="s">
        <v>21</v>
      </c>
      <c r="B13" s="4">
        <f>[1]Январь1!$H13</f>
        <v>37946</v>
      </c>
      <c r="C13" s="4">
        <f ca="1">Февраль!$H13</f>
        <v>57957</v>
      </c>
      <c r="D13" s="4">
        <f ca="1">Март!$H13</f>
        <v>45315</v>
      </c>
      <c r="E13" s="4">
        <f ca="1">Апрель!$H13</f>
        <v>39950</v>
      </c>
      <c r="F13" s="4">
        <f ca="1">Май!$H13</f>
        <v>35376</v>
      </c>
      <c r="G13" s="4">
        <f ca="1">Июнь!$H13</f>
        <v>39502</v>
      </c>
      <c r="H13" s="4">
        <f ca="1">Июль!$H13</f>
        <v>45533</v>
      </c>
      <c r="I13" s="4">
        <f ca="1">Август!$H13</f>
        <v>42148</v>
      </c>
      <c r="J13" s="4">
        <f ca="1">Сентябрь!$H13</f>
        <v>47739</v>
      </c>
      <c r="K13" s="4">
        <f ca="1">Октябрь!$H13</f>
        <v>38723</v>
      </c>
      <c r="L13" s="4">
        <f ca="1">Ноябрь!$H13</f>
        <v>40409</v>
      </c>
      <c r="M13" s="4">
        <f ca="1">Декабрь!$H13</f>
        <v>45813</v>
      </c>
      <c r="N13" s="4" cm="1">
        <f t="array" aca="1" ref="N13:Y13" ca="1">B13:M13</f>
        <v>37946</v>
      </c>
      <c r="O13" s="4">
        <f ca="1"/>
        <v>57957</v>
      </c>
      <c r="P13" s="4">
        <f ca="1"/>
        <v>45315</v>
      </c>
      <c r="Q13" s="4">
        <f ca="1"/>
        <v>39950</v>
      </c>
      <c r="R13" s="4">
        <f ca="1"/>
        <v>35376</v>
      </c>
      <c r="S13" s="4">
        <f ca="1"/>
        <v>39502</v>
      </c>
      <c r="T13" s="4">
        <f ca="1"/>
        <v>45533</v>
      </c>
      <c r="U13" s="4">
        <f ca="1"/>
        <v>42148</v>
      </c>
      <c r="V13" s="4">
        <f ca="1"/>
        <v>47739</v>
      </c>
      <c r="W13" s="4">
        <f ca="1"/>
        <v>38723</v>
      </c>
      <c r="X13" s="4">
        <f ca="1"/>
        <v>40409</v>
      </c>
      <c r="Y13" s="4">
        <f ca="1"/>
        <v>45813</v>
      </c>
    </row>
    <row r="14" spans="1:25" ht="15.75">
      <c r="A14" s="4" t="s">
        <v>23</v>
      </c>
      <c r="B14" s="4">
        <f>[1]Январь1!$H14</f>
        <v>107489</v>
      </c>
      <c r="C14" s="4">
        <f ca="1">Февраль!$H14</f>
        <v>134848</v>
      </c>
      <c r="D14" s="4">
        <f ca="1">Март!$H14</f>
        <v>120098</v>
      </c>
      <c r="E14" s="4">
        <f ca="1">Апрель!$H14</f>
        <v>114611</v>
      </c>
      <c r="F14" s="4">
        <f ca="1">Май!$H14</f>
        <v>107645</v>
      </c>
      <c r="G14" s="4">
        <f ca="1">Июнь!$H14</f>
        <v>103356</v>
      </c>
      <c r="H14" s="4">
        <f ca="1">Июль!$H14</f>
        <v>105641</v>
      </c>
      <c r="I14" s="4">
        <f ca="1">Август!$H14</f>
        <v>107277</v>
      </c>
      <c r="J14" s="4">
        <f ca="1">Сентябрь!$H14</f>
        <v>107291</v>
      </c>
      <c r="K14" s="4">
        <f ca="1">Октябрь!$H14</f>
        <v>103204</v>
      </c>
      <c r="L14" s="4">
        <f ca="1">Ноябрь!$H14</f>
        <v>115735</v>
      </c>
      <c r="M14" s="4">
        <f ca="1">Декабрь!$H14</f>
        <v>111353</v>
      </c>
      <c r="N14" s="4" cm="1">
        <f t="array" aca="1" ref="N14:Y14" ca="1">B14:M14</f>
        <v>107489</v>
      </c>
      <c r="O14" s="4">
        <f ca="1"/>
        <v>134848</v>
      </c>
      <c r="P14" s="4">
        <f ca="1"/>
        <v>120098</v>
      </c>
      <c r="Q14" s="4">
        <f ca="1"/>
        <v>114611</v>
      </c>
      <c r="R14" s="4">
        <f ca="1"/>
        <v>107645</v>
      </c>
      <c r="S14" s="4">
        <f ca="1"/>
        <v>103356</v>
      </c>
      <c r="T14" s="4">
        <f ca="1"/>
        <v>105641</v>
      </c>
      <c r="U14" s="4">
        <f ca="1"/>
        <v>107277</v>
      </c>
      <c r="V14" s="4">
        <f ca="1"/>
        <v>107291</v>
      </c>
      <c r="W14" s="4">
        <f ca="1"/>
        <v>103204</v>
      </c>
      <c r="X14" s="4">
        <f ca="1"/>
        <v>115735</v>
      </c>
      <c r="Y14" s="4">
        <f ca="1"/>
        <v>111353</v>
      </c>
    </row>
    <row r="15" spans="1:25" ht="15.75">
      <c r="A15" s="4" t="s">
        <v>24</v>
      </c>
      <c r="B15" s="4">
        <f>[1]Январь1!$H15</f>
        <v>58907</v>
      </c>
      <c r="C15" s="4">
        <f ca="1">Февраль!$H15</f>
        <v>78020</v>
      </c>
      <c r="D15" s="4">
        <f ca="1">Март!$H15</f>
        <v>50418</v>
      </c>
      <c r="E15" s="4">
        <f ca="1">Апрель!$H15</f>
        <v>57274</v>
      </c>
      <c r="F15" s="4">
        <f ca="1">Май!$H15</f>
        <v>45987</v>
      </c>
      <c r="G15" s="4">
        <f ca="1">Июнь!$H15</f>
        <v>51052</v>
      </c>
      <c r="H15" s="4">
        <f ca="1">Июль!$H15</f>
        <v>43032</v>
      </c>
      <c r="I15" s="4">
        <f ca="1">Август!$H15</f>
        <v>56464</v>
      </c>
      <c r="J15" s="4">
        <f ca="1">Сентябрь!$H15</f>
        <v>56960</v>
      </c>
      <c r="K15" s="4">
        <f ca="1">Октябрь!$H15</f>
        <v>47749</v>
      </c>
      <c r="L15" s="4">
        <f ca="1">Ноябрь!$H15</f>
        <v>60336</v>
      </c>
      <c r="M15" s="4">
        <f ca="1">Декабрь!$H15</f>
        <v>59516</v>
      </c>
      <c r="N15" s="4" cm="1">
        <f t="array" aca="1" ref="N15:Y15" ca="1">B15:M15</f>
        <v>58907</v>
      </c>
      <c r="O15" s="4">
        <f ca="1"/>
        <v>78020</v>
      </c>
      <c r="P15" s="4">
        <f ca="1"/>
        <v>50418</v>
      </c>
      <c r="Q15" s="4">
        <f ca="1"/>
        <v>57274</v>
      </c>
      <c r="R15" s="4">
        <f ca="1"/>
        <v>45987</v>
      </c>
      <c r="S15" s="4">
        <f ca="1"/>
        <v>51052</v>
      </c>
      <c r="T15" s="4">
        <f ca="1"/>
        <v>43032</v>
      </c>
      <c r="U15" s="4">
        <f ca="1"/>
        <v>56464</v>
      </c>
      <c r="V15" s="4">
        <f ca="1"/>
        <v>56960</v>
      </c>
      <c r="W15" s="4">
        <f ca="1"/>
        <v>47749</v>
      </c>
      <c r="X15" s="4">
        <f ca="1"/>
        <v>60336</v>
      </c>
      <c r="Y15" s="4">
        <f ca="1"/>
        <v>59516</v>
      </c>
    </row>
    <row r="16" spans="1:25" ht="15.75">
      <c r="A16" s="4" t="s">
        <v>25</v>
      </c>
      <c r="B16" s="4">
        <f>[1]Январь1!$H16</f>
        <v>53549</v>
      </c>
      <c r="C16" s="4">
        <f ca="1">Февраль!$H16</f>
        <v>84041</v>
      </c>
      <c r="D16" s="4">
        <f ca="1">Март!$H16</f>
        <v>59114</v>
      </c>
      <c r="E16" s="4">
        <f ca="1">Апрель!$H16</f>
        <v>51428</v>
      </c>
      <c r="F16" s="4">
        <f ca="1">Май!$H16</f>
        <v>54836</v>
      </c>
      <c r="G16" s="4">
        <f ca="1">Июнь!$H16</f>
        <v>52435</v>
      </c>
      <c r="H16" s="4">
        <f ca="1">Июль!$H16</f>
        <v>58110</v>
      </c>
      <c r="I16" s="4">
        <f ca="1">Август!$H16</f>
        <v>66792</v>
      </c>
      <c r="J16" s="4">
        <f ca="1">Сентябрь!$H16</f>
        <v>49317</v>
      </c>
      <c r="K16" s="4">
        <f ca="1">Октябрь!$H16</f>
        <v>58519</v>
      </c>
      <c r="L16" s="4">
        <f ca="1">Ноябрь!$H16</f>
        <v>54612</v>
      </c>
      <c r="M16" s="4">
        <f ca="1">Декабрь!$H16</f>
        <v>56151</v>
      </c>
      <c r="N16" s="4" cm="1">
        <f t="array" aca="1" ref="N16:Y16" ca="1">B16:M16</f>
        <v>53549</v>
      </c>
      <c r="O16" s="4">
        <f ca="1"/>
        <v>84041</v>
      </c>
      <c r="P16" s="4">
        <f ca="1"/>
        <v>59114</v>
      </c>
      <c r="Q16" s="4">
        <f ca="1"/>
        <v>51428</v>
      </c>
      <c r="R16" s="4">
        <f ca="1"/>
        <v>54836</v>
      </c>
      <c r="S16" s="4">
        <f ca="1"/>
        <v>52435</v>
      </c>
      <c r="T16" s="4">
        <f ca="1"/>
        <v>58110</v>
      </c>
      <c r="U16" s="4">
        <f ca="1"/>
        <v>66792</v>
      </c>
      <c r="V16" s="4">
        <f ca="1"/>
        <v>49317</v>
      </c>
      <c r="W16" s="4">
        <f ca="1"/>
        <v>58519</v>
      </c>
      <c r="X16" s="4">
        <f ca="1"/>
        <v>54612</v>
      </c>
      <c r="Y16" s="4">
        <f ca="1"/>
        <v>56151</v>
      </c>
    </row>
    <row r="17" spans="1:25" ht="15.75">
      <c r="A17" s="4" t="s">
        <v>26</v>
      </c>
      <c r="B17" s="4">
        <f>[1]Январь1!$H17</f>
        <v>70221</v>
      </c>
      <c r="C17" s="4">
        <f ca="1">Февраль!$H17</f>
        <v>87914</v>
      </c>
      <c r="D17" s="4">
        <f ca="1">Март!$H17</f>
        <v>85817</v>
      </c>
      <c r="E17" s="4">
        <f ca="1">Апрель!$H17</f>
        <v>69909</v>
      </c>
      <c r="F17" s="4">
        <f ca="1">Май!$H17</f>
        <v>63231</v>
      </c>
      <c r="G17" s="4">
        <f ca="1">Июнь!$H17</f>
        <v>70370</v>
      </c>
      <c r="H17" s="4">
        <f ca="1">Июль!$H17</f>
        <v>66688</v>
      </c>
      <c r="I17" s="4">
        <f ca="1">Август!$H17</f>
        <v>71044</v>
      </c>
      <c r="J17" s="4">
        <f ca="1">Сентябрь!$H17</f>
        <v>65093</v>
      </c>
      <c r="K17" s="4">
        <f ca="1">Октябрь!$H17</f>
        <v>63573</v>
      </c>
      <c r="L17" s="4">
        <f ca="1">Ноябрь!$H17</f>
        <v>71905</v>
      </c>
      <c r="M17" s="4">
        <f ca="1">Декабрь!$H17</f>
        <v>66091</v>
      </c>
      <c r="N17" s="4" cm="1">
        <f t="array" aca="1" ref="N17:Y17" ca="1">B17:M17</f>
        <v>70221</v>
      </c>
      <c r="O17" s="4">
        <f ca="1"/>
        <v>87914</v>
      </c>
      <c r="P17" s="4">
        <f ca="1"/>
        <v>85817</v>
      </c>
      <c r="Q17" s="4">
        <f ca="1"/>
        <v>69909</v>
      </c>
      <c r="R17" s="4">
        <f ca="1"/>
        <v>63231</v>
      </c>
      <c r="S17" s="4">
        <f ca="1"/>
        <v>70370</v>
      </c>
      <c r="T17" s="4">
        <f ca="1"/>
        <v>66688</v>
      </c>
      <c r="U17" s="4">
        <f ca="1"/>
        <v>71044</v>
      </c>
      <c r="V17" s="4">
        <f ca="1"/>
        <v>65093</v>
      </c>
      <c r="W17" s="4">
        <f ca="1"/>
        <v>63573</v>
      </c>
      <c r="X17" s="4">
        <f ca="1"/>
        <v>71905</v>
      </c>
      <c r="Y17" s="4">
        <f ca="1"/>
        <v>66091</v>
      </c>
    </row>
    <row r="18" spans="1:25" ht="15.75">
      <c r="A18" s="4" t="s">
        <v>27</v>
      </c>
      <c r="B18" s="4">
        <f>[1]Январь1!$H18</f>
        <v>104106</v>
      </c>
      <c r="C18" s="4">
        <f ca="1">Февраль!$H18</f>
        <v>131923</v>
      </c>
      <c r="D18" s="4">
        <f ca="1">Март!$H18</f>
        <v>116706</v>
      </c>
      <c r="E18" s="4">
        <f ca="1">Апрель!$H18</f>
        <v>106513</v>
      </c>
      <c r="F18" s="4">
        <f ca="1">Май!$H18</f>
        <v>109542</v>
      </c>
      <c r="G18" s="4">
        <f ca="1">Июнь!$H18</f>
        <v>108230</v>
      </c>
      <c r="H18" s="4">
        <f ca="1">Июль!$H18</f>
        <v>105938</v>
      </c>
      <c r="I18" s="4">
        <f ca="1">Август!$H18</f>
        <v>104429</v>
      </c>
      <c r="J18" s="4">
        <f ca="1">Сентябрь!$H18</f>
        <v>107164</v>
      </c>
      <c r="K18" s="4">
        <f ca="1">Октябрь!$H18</f>
        <v>108429</v>
      </c>
      <c r="L18" s="4">
        <f ca="1">Ноябрь!$H18</f>
        <v>97083</v>
      </c>
      <c r="M18" s="4">
        <f ca="1">Декабрь!$H18</f>
        <v>115077</v>
      </c>
      <c r="N18" s="4" cm="1">
        <f t="array" aca="1" ref="N18:Y18" ca="1">B18:M18</f>
        <v>104106</v>
      </c>
      <c r="O18" s="4">
        <f ca="1"/>
        <v>131923</v>
      </c>
      <c r="P18" s="4">
        <f ca="1"/>
        <v>116706</v>
      </c>
      <c r="Q18" s="4">
        <f ca="1"/>
        <v>106513</v>
      </c>
      <c r="R18" s="4">
        <f ca="1"/>
        <v>109542</v>
      </c>
      <c r="S18" s="4">
        <f ca="1"/>
        <v>108230</v>
      </c>
      <c r="T18" s="4">
        <f ca="1"/>
        <v>105938</v>
      </c>
      <c r="U18" s="4">
        <f ca="1"/>
        <v>104429</v>
      </c>
      <c r="V18" s="4">
        <f ca="1"/>
        <v>107164</v>
      </c>
      <c r="W18" s="4">
        <f ca="1"/>
        <v>108429</v>
      </c>
      <c r="X18" s="4">
        <f ca="1"/>
        <v>97083</v>
      </c>
      <c r="Y18" s="4">
        <f ca="1"/>
        <v>115077</v>
      </c>
    </row>
    <row r="19" spans="1:25" ht="15.75">
      <c r="A19" s="4" t="s">
        <v>28</v>
      </c>
      <c r="B19" s="4">
        <f>[1]Январь1!$H19</f>
        <v>97332</v>
      </c>
      <c r="C19" s="4">
        <f ca="1">Февраль!$H19</f>
        <v>127094</v>
      </c>
      <c r="D19" s="4">
        <f ca="1">Март!$H19</f>
        <v>109935</v>
      </c>
      <c r="E19" s="4">
        <f ca="1">Апрель!$H19</f>
        <v>107742</v>
      </c>
      <c r="F19" s="4">
        <f ca="1">Май!$H19</f>
        <v>99190</v>
      </c>
      <c r="G19" s="4">
        <f ca="1">Июнь!$H19</f>
        <v>95446</v>
      </c>
      <c r="H19" s="4">
        <f ca="1">Июль!$H19</f>
        <v>111561</v>
      </c>
      <c r="I19" s="4">
        <f ca="1">Август!$H19</f>
        <v>109593</v>
      </c>
      <c r="J19" s="4">
        <f ca="1">Сентябрь!$H19</f>
        <v>102034</v>
      </c>
      <c r="K19" s="4">
        <f ca="1">Октябрь!$H19</f>
        <v>104210</v>
      </c>
      <c r="L19" s="4">
        <f ca="1">Ноябрь!$H19</f>
        <v>98794</v>
      </c>
      <c r="M19" s="4">
        <f ca="1">Декабрь!$H19</f>
        <v>103467</v>
      </c>
      <c r="N19" s="4" cm="1">
        <f t="array" aca="1" ref="N19:Y19" ca="1">B19:M19</f>
        <v>97332</v>
      </c>
      <c r="O19" s="4">
        <f ca="1"/>
        <v>127094</v>
      </c>
      <c r="P19" s="4">
        <f ca="1"/>
        <v>109935</v>
      </c>
      <c r="Q19" s="4">
        <f ca="1"/>
        <v>107742</v>
      </c>
      <c r="R19" s="4">
        <f ca="1"/>
        <v>99190</v>
      </c>
      <c r="S19" s="4">
        <f ca="1"/>
        <v>95446</v>
      </c>
      <c r="T19" s="4">
        <f ca="1"/>
        <v>111561</v>
      </c>
      <c r="U19" s="4">
        <f ca="1"/>
        <v>109593</v>
      </c>
      <c r="V19" s="4">
        <f ca="1"/>
        <v>102034</v>
      </c>
      <c r="W19" s="4">
        <f ca="1"/>
        <v>104210</v>
      </c>
      <c r="X19" s="4">
        <f ca="1"/>
        <v>98794</v>
      </c>
      <c r="Y19" s="4">
        <f ca="1"/>
        <v>103467</v>
      </c>
    </row>
    <row r="20" spans="1:25" ht="15.75">
      <c r="A20" s="4" t="s">
        <v>29</v>
      </c>
      <c r="B20" s="4">
        <f>[1]Январь1!$H20</f>
        <v>41843</v>
      </c>
      <c r="C20" s="4">
        <f ca="1">Февраль!$H20</f>
        <v>74927</v>
      </c>
      <c r="D20" s="4">
        <f ca="1">Март!$H20</f>
        <v>57749</v>
      </c>
      <c r="E20" s="4">
        <f ca="1">Апрель!$H20</f>
        <v>39510</v>
      </c>
      <c r="F20" s="4">
        <f ca="1">Май!$H20</f>
        <v>39520</v>
      </c>
      <c r="G20" s="4">
        <f ca="1">Июнь!$H20</f>
        <v>47061</v>
      </c>
      <c r="H20" s="4">
        <f ca="1">Июль!$H20</f>
        <v>46832</v>
      </c>
      <c r="I20" s="4">
        <f ca="1">Август!$H20</f>
        <v>53931</v>
      </c>
      <c r="J20" s="4">
        <f ca="1">Сентябрь!$H20</f>
        <v>52377</v>
      </c>
      <c r="K20" s="4">
        <f ca="1">Октябрь!$H20</f>
        <v>41545</v>
      </c>
      <c r="L20" s="4">
        <f ca="1">Ноябрь!$H20</f>
        <v>53578</v>
      </c>
      <c r="M20" s="4">
        <f ca="1">Декабрь!$H20</f>
        <v>51044</v>
      </c>
      <c r="N20" s="4" cm="1">
        <f t="array" aca="1" ref="N20:Y20" ca="1">B20:M20</f>
        <v>41843</v>
      </c>
      <c r="O20" s="4">
        <f ca="1"/>
        <v>74927</v>
      </c>
      <c r="P20" s="4">
        <f ca="1"/>
        <v>57749</v>
      </c>
      <c r="Q20" s="4">
        <f ca="1"/>
        <v>39510</v>
      </c>
      <c r="R20" s="4">
        <f ca="1"/>
        <v>39520</v>
      </c>
      <c r="S20" s="4">
        <f ca="1"/>
        <v>47061</v>
      </c>
      <c r="T20" s="4">
        <f ca="1"/>
        <v>46832</v>
      </c>
      <c r="U20" s="4">
        <f ca="1"/>
        <v>53931</v>
      </c>
      <c r="V20" s="4">
        <f ca="1"/>
        <v>52377</v>
      </c>
      <c r="W20" s="4">
        <f ca="1"/>
        <v>41545</v>
      </c>
      <c r="X20" s="4">
        <f ca="1"/>
        <v>53578</v>
      </c>
      <c r="Y20" s="4">
        <f ca="1"/>
        <v>51044</v>
      </c>
    </row>
    <row r="21" spans="1:25" ht="15.75">
      <c r="A21" s="4" t="s">
        <v>30</v>
      </c>
      <c r="B21" s="4">
        <f>[1]Январь1!$H21</f>
        <v>49934</v>
      </c>
      <c r="C21" s="4">
        <f ca="1">Февраль!$H21</f>
        <v>73346</v>
      </c>
      <c r="D21" s="4">
        <f ca="1">Март!$H21</f>
        <v>63179</v>
      </c>
      <c r="E21" s="4">
        <f ca="1">Апрель!$H21</f>
        <v>56428</v>
      </c>
      <c r="F21" s="4">
        <f ca="1">Май!$H21</f>
        <v>52026</v>
      </c>
      <c r="G21" s="4">
        <f ca="1">Июнь!$H21</f>
        <v>49042</v>
      </c>
      <c r="H21" s="4">
        <f ca="1">Июль!$H21</f>
        <v>59341</v>
      </c>
      <c r="I21" s="4">
        <f ca="1">Август!$H21</f>
        <v>46788</v>
      </c>
      <c r="J21" s="4">
        <f ca="1">Сентябрь!$H21</f>
        <v>48308</v>
      </c>
      <c r="K21" s="4">
        <f ca="1">Октябрь!$H21</f>
        <v>52625</v>
      </c>
      <c r="L21" s="4">
        <f ca="1">Ноябрь!$H21</f>
        <v>43439</v>
      </c>
      <c r="M21" s="4">
        <f ca="1">Декабрь!$H21</f>
        <v>59521</v>
      </c>
      <c r="N21" s="4" cm="1">
        <f t="array" aca="1" ref="N21:Y21" ca="1">B21:M21</f>
        <v>49934</v>
      </c>
      <c r="O21" s="4">
        <f ca="1"/>
        <v>73346</v>
      </c>
      <c r="P21" s="4">
        <f ca="1"/>
        <v>63179</v>
      </c>
      <c r="Q21" s="4">
        <f ca="1"/>
        <v>56428</v>
      </c>
      <c r="R21" s="4">
        <f ca="1"/>
        <v>52026</v>
      </c>
      <c r="S21" s="4">
        <f ca="1"/>
        <v>49042</v>
      </c>
      <c r="T21" s="4">
        <f ca="1"/>
        <v>59341</v>
      </c>
      <c r="U21" s="4">
        <f ca="1"/>
        <v>46788</v>
      </c>
      <c r="V21" s="4">
        <f ca="1"/>
        <v>48308</v>
      </c>
      <c r="W21" s="4">
        <f ca="1"/>
        <v>52625</v>
      </c>
      <c r="X21" s="4">
        <f ca="1"/>
        <v>43439</v>
      </c>
      <c r="Y21" s="4">
        <f ca="1"/>
        <v>59521</v>
      </c>
    </row>
    <row r="22" spans="1:25" ht="15.75">
      <c r="A22" s="4" t="s">
        <v>31</v>
      </c>
      <c r="B22" s="4">
        <f>[1]Январь1!$H22</f>
        <v>41552</v>
      </c>
      <c r="C22" s="4">
        <f ca="1">Февраль!$H22</f>
        <v>71927</v>
      </c>
      <c r="D22" s="4">
        <f ca="1">Март!$H22</f>
        <v>56071</v>
      </c>
      <c r="E22" s="4">
        <f ca="1">Апрель!$H22</f>
        <v>56750</v>
      </c>
      <c r="F22" s="4">
        <f ca="1">Май!$H22</f>
        <v>48133</v>
      </c>
      <c r="G22" s="4">
        <f ca="1">Июнь!$H22</f>
        <v>51895</v>
      </c>
      <c r="H22" s="4">
        <f ca="1">Июль!$H22</f>
        <v>61170</v>
      </c>
      <c r="I22" s="4">
        <f ca="1">Август!$H22</f>
        <v>51572</v>
      </c>
      <c r="J22" s="4">
        <f ca="1">Сентябрь!$H22</f>
        <v>52841</v>
      </c>
      <c r="K22" s="4">
        <f ca="1">Октябрь!$H22</f>
        <v>51421</v>
      </c>
      <c r="L22" s="4">
        <f ca="1">Ноябрь!$H22</f>
        <v>50496</v>
      </c>
      <c r="M22" s="4">
        <f ca="1">Декабрь!$H22</f>
        <v>48086</v>
      </c>
      <c r="N22" s="4" cm="1">
        <f t="array" aca="1" ref="N22:Y22" ca="1">B22:M22</f>
        <v>41552</v>
      </c>
      <c r="O22" s="4">
        <f ca="1"/>
        <v>71927</v>
      </c>
      <c r="P22" s="4">
        <f ca="1"/>
        <v>56071</v>
      </c>
      <c r="Q22" s="4">
        <f ca="1"/>
        <v>56750</v>
      </c>
      <c r="R22" s="4">
        <f ca="1"/>
        <v>48133</v>
      </c>
      <c r="S22" s="4">
        <f ca="1"/>
        <v>51895</v>
      </c>
      <c r="T22" s="4">
        <f ca="1"/>
        <v>61170</v>
      </c>
      <c r="U22" s="4">
        <f ca="1"/>
        <v>51572</v>
      </c>
      <c r="V22" s="4">
        <f ca="1"/>
        <v>52841</v>
      </c>
      <c r="W22" s="4">
        <f ca="1"/>
        <v>51421</v>
      </c>
      <c r="X22" s="4">
        <f ca="1"/>
        <v>50496</v>
      </c>
      <c r="Y22" s="4">
        <f ca="1"/>
        <v>48086</v>
      </c>
    </row>
    <row r="23" spans="1:25" ht="15.75">
      <c r="A23" s="4" t="s">
        <v>32</v>
      </c>
      <c r="B23" s="4">
        <f>[1]Январь1!$H23</f>
        <v>66223</v>
      </c>
      <c r="C23" s="4">
        <f ca="1">Февраль!$H23</f>
        <v>92400</v>
      </c>
      <c r="D23" s="4">
        <f ca="1">Март!$H23</f>
        <v>83284</v>
      </c>
      <c r="E23" s="4">
        <f ca="1">Апрель!$H23</f>
        <v>65566</v>
      </c>
      <c r="F23" s="4">
        <f ca="1">Май!$H23</f>
        <v>57352</v>
      </c>
      <c r="G23" s="4">
        <f ca="1">Июнь!$H23</f>
        <v>58466</v>
      </c>
      <c r="H23" s="4">
        <f ca="1">Июль!$H23</f>
        <v>57912</v>
      </c>
      <c r="I23" s="4">
        <f ca="1">Август!$H23</f>
        <v>60778</v>
      </c>
      <c r="J23" s="4">
        <f ca="1">Сентябрь!$H23</f>
        <v>67695</v>
      </c>
      <c r="K23" s="4">
        <f ca="1">Октябрь!$H23</f>
        <v>63725</v>
      </c>
      <c r="L23" s="4">
        <f ca="1">Ноябрь!$H23</f>
        <v>68615</v>
      </c>
      <c r="M23" s="4">
        <f ca="1">Декабрь!$H23</f>
        <v>57211</v>
      </c>
      <c r="N23" s="4" cm="1">
        <f t="array" aca="1" ref="N23:Y23" ca="1">B23:M23</f>
        <v>66223</v>
      </c>
      <c r="O23" s="4">
        <f ca="1"/>
        <v>92400</v>
      </c>
      <c r="P23" s="4">
        <f ca="1"/>
        <v>83284</v>
      </c>
      <c r="Q23" s="4">
        <f ca="1"/>
        <v>65566</v>
      </c>
      <c r="R23" s="4">
        <f ca="1"/>
        <v>57352</v>
      </c>
      <c r="S23" s="4">
        <f ca="1"/>
        <v>58466</v>
      </c>
      <c r="T23" s="4">
        <f ca="1"/>
        <v>57912</v>
      </c>
      <c r="U23" s="4">
        <f ca="1"/>
        <v>60778</v>
      </c>
      <c r="V23" s="4">
        <f ca="1"/>
        <v>67695</v>
      </c>
      <c r="W23" s="4">
        <f ca="1"/>
        <v>63725</v>
      </c>
      <c r="X23" s="4">
        <f ca="1"/>
        <v>68615</v>
      </c>
      <c r="Y23" s="4">
        <f ca="1"/>
        <v>57211</v>
      </c>
    </row>
    <row r="24" spans="1:25" ht="15.75">
      <c r="A24" s="4" t="s">
        <v>33</v>
      </c>
      <c r="B24" s="4">
        <f>[1]Январь1!$H24</f>
        <v>67265</v>
      </c>
      <c r="C24" s="4">
        <f ca="1">Февраль!$H24</f>
        <v>78134</v>
      </c>
      <c r="D24" s="4">
        <f ca="1">Март!$H24</f>
        <v>72086</v>
      </c>
      <c r="E24" s="4">
        <f ca="1">Апрель!$H24</f>
        <v>61783</v>
      </c>
      <c r="F24" s="4">
        <f ca="1">Май!$H24</f>
        <v>54210</v>
      </c>
      <c r="G24" s="4">
        <f ca="1">Июнь!$H24</f>
        <v>56886</v>
      </c>
      <c r="H24" s="4">
        <f ca="1">Июль!$H24</f>
        <v>51482</v>
      </c>
      <c r="I24" s="4">
        <f ca="1">Август!$H24</f>
        <v>63538</v>
      </c>
      <c r="J24" s="4">
        <f ca="1">Сентябрь!$H24</f>
        <v>60121</v>
      </c>
      <c r="K24" s="4">
        <f ca="1">Октябрь!$H24</f>
        <v>54769</v>
      </c>
      <c r="L24" s="4">
        <f ca="1">Ноябрь!$H24</f>
        <v>66199</v>
      </c>
      <c r="M24" s="4">
        <f ca="1">Декабрь!$H24</f>
        <v>54324</v>
      </c>
      <c r="N24" s="4" cm="1">
        <f t="array" aca="1" ref="N24:Y24" ca="1">B24:M24</f>
        <v>67265</v>
      </c>
      <c r="O24" s="4">
        <f ca="1"/>
        <v>78134</v>
      </c>
      <c r="P24" s="4">
        <f ca="1"/>
        <v>72086</v>
      </c>
      <c r="Q24" s="4">
        <f ca="1"/>
        <v>61783</v>
      </c>
      <c r="R24" s="4">
        <f ca="1"/>
        <v>54210</v>
      </c>
      <c r="S24" s="4">
        <f ca="1"/>
        <v>56886</v>
      </c>
      <c r="T24" s="4">
        <f ca="1"/>
        <v>51482</v>
      </c>
      <c r="U24" s="4">
        <f ca="1"/>
        <v>63538</v>
      </c>
      <c r="V24" s="4">
        <f ca="1"/>
        <v>60121</v>
      </c>
      <c r="W24" s="4">
        <f ca="1"/>
        <v>54769</v>
      </c>
      <c r="X24" s="4">
        <f ca="1"/>
        <v>66199</v>
      </c>
      <c r="Y24" s="4">
        <f ca="1"/>
        <v>54324</v>
      </c>
    </row>
    <row r="25" spans="1:25" ht="15.75">
      <c r="A25" s="4" t="s">
        <v>34</v>
      </c>
      <c r="B25" s="4">
        <f>[1]Январь1!$H25</f>
        <v>81660</v>
      </c>
      <c r="C25" s="4">
        <f ca="1">Февраль!$H25</f>
        <v>93081</v>
      </c>
      <c r="D25" s="4">
        <f ca="1">Март!$H25</f>
        <v>78931</v>
      </c>
      <c r="E25" s="4">
        <f ca="1">Апрель!$H25</f>
        <v>75295</v>
      </c>
      <c r="F25" s="4">
        <f ca="1">Май!$H25</f>
        <v>78566</v>
      </c>
      <c r="G25" s="4">
        <f ca="1">Июнь!$H25</f>
        <v>72517</v>
      </c>
      <c r="H25" s="4">
        <f ca="1">Июль!$H25</f>
        <v>76387</v>
      </c>
      <c r="I25" s="4">
        <f ca="1">Август!$H25</f>
        <v>81218</v>
      </c>
      <c r="J25" s="4">
        <f ca="1">Сентябрь!$H25</f>
        <v>72400</v>
      </c>
      <c r="K25" s="4">
        <f ca="1">Октябрь!$H25</f>
        <v>78247</v>
      </c>
      <c r="L25" s="4">
        <f ca="1">Ноябрь!$H25</f>
        <v>71780</v>
      </c>
      <c r="M25" s="4">
        <f ca="1">Декабрь!$H25</f>
        <v>77977</v>
      </c>
      <c r="N25" s="4" cm="1">
        <f t="array" aca="1" ref="N25:Y25" ca="1">B25:M25</f>
        <v>81660</v>
      </c>
      <c r="O25" s="4">
        <f ca="1"/>
        <v>93081</v>
      </c>
      <c r="P25" s="4">
        <f ca="1"/>
        <v>78931</v>
      </c>
      <c r="Q25" s="4">
        <f ca="1"/>
        <v>75295</v>
      </c>
      <c r="R25" s="4">
        <f ca="1"/>
        <v>78566</v>
      </c>
      <c r="S25" s="4">
        <f ca="1"/>
        <v>72517</v>
      </c>
      <c r="T25" s="4">
        <f ca="1"/>
        <v>76387</v>
      </c>
      <c r="U25" s="4">
        <f ca="1"/>
        <v>81218</v>
      </c>
      <c r="V25" s="4">
        <f ca="1"/>
        <v>72400</v>
      </c>
      <c r="W25" s="4">
        <f ca="1"/>
        <v>78247</v>
      </c>
      <c r="X25" s="4">
        <f ca="1"/>
        <v>71780</v>
      </c>
      <c r="Y25" s="4">
        <f ca="1"/>
        <v>77977</v>
      </c>
    </row>
    <row r="26" spans="1:25" ht="15.75">
      <c r="A26" s="4" t="s">
        <v>35</v>
      </c>
      <c r="B26" s="4">
        <f>[1]Январь1!$H26</f>
        <v>34751</v>
      </c>
      <c r="C26" s="4">
        <f ca="1">Февраль!$H26</f>
        <v>70352</v>
      </c>
      <c r="D26" s="4">
        <f ca="1">Март!$H26</f>
        <v>47297</v>
      </c>
      <c r="E26" s="4">
        <f ca="1">Апрель!$H26</f>
        <v>41581</v>
      </c>
      <c r="F26" s="4">
        <f ca="1">Май!$H26</f>
        <v>43592</v>
      </c>
      <c r="G26" s="4">
        <f ca="1">Июнь!$H26</f>
        <v>39568</v>
      </c>
      <c r="H26" s="4">
        <f ca="1">Июль!$H26</f>
        <v>47539</v>
      </c>
      <c r="I26" s="4">
        <f ca="1">Август!$H26</f>
        <v>39536</v>
      </c>
      <c r="J26" s="4">
        <f ca="1">Сентябрь!$H26</f>
        <v>37182</v>
      </c>
      <c r="K26" s="4">
        <f ca="1">Октябрь!$H26</f>
        <v>36293</v>
      </c>
      <c r="L26" s="4">
        <f ca="1">Ноябрь!$H26</f>
        <v>43240</v>
      </c>
      <c r="M26" s="4">
        <f ca="1">Декабрь!$H26</f>
        <v>49755</v>
      </c>
      <c r="N26" s="4" cm="1">
        <f t="array" aca="1" ref="N26:Y26" ca="1">B26:M26</f>
        <v>34751</v>
      </c>
      <c r="O26" s="4">
        <f ca="1"/>
        <v>70352</v>
      </c>
      <c r="P26" s="4">
        <f ca="1"/>
        <v>47297</v>
      </c>
      <c r="Q26" s="4">
        <f ca="1"/>
        <v>41581</v>
      </c>
      <c r="R26" s="4">
        <f ca="1"/>
        <v>43592</v>
      </c>
      <c r="S26" s="4">
        <f ca="1"/>
        <v>39568</v>
      </c>
      <c r="T26" s="4">
        <f ca="1"/>
        <v>47539</v>
      </c>
      <c r="U26" s="4">
        <f ca="1"/>
        <v>39536</v>
      </c>
      <c r="V26" s="4">
        <f ca="1"/>
        <v>37182</v>
      </c>
      <c r="W26" s="4">
        <f ca="1"/>
        <v>36293</v>
      </c>
      <c r="X26" s="4">
        <f ca="1"/>
        <v>43240</v>
      </c>
      <c r="Y26" s="4">
        <f ca="1"/>
        <v>49755</v>
      </c>
    </row>
    <row r="27" spans="1:25" ht="15.75">
      <c r="A27" s="4" t="s">
        <v>36</v>
      </c>
      <c r="B27" s="4">
        <f>[1]Январь1!$H27</f>
        <v>69682</v>
      </c>
      <c r="C27" s="4">
        <f ca="1">Февраль!$H27</f>
        <v>87762</v>
      </c>
      <c r="D27" s="4">
        <f ca="1">Март!$H27</f>
        <v>78982</v>
      </c>
      <c r="E27" s="4">
        <f ca="1">Апрель!$H27</f>
        <v>68656</v>
      </c>
      <c r="F27" s="4">
        <f ca="1">Май!$H27</f>
        <v>63017</v>
      </c>
      <c r="G27" s="4">
        <f ca="1">Июнь!$H27</f>
        <v>67338</v>
      </c>
      <c r="H27" s="4">
        <f ca="1">Июль!$H27</f>
        <v>74441</v>
      </c>
      <c r="I27" s="4">
        <f ca="1">Август!$H27</f>
        <v>68587</v>
      </c>
      <c r="J27" s="4">
        <f ca="1">Сентябрь!$H27</f>
        <v>77538</v>
      </c>
      <c r="K27" s="4">
        <f ca="1">Октябрь!$H27</f>
        <v>64371</v>
      </c>
      <c r="L27" s="4">
        <f ca="1">Ноябрь!$H27</f>
        <v>66409</v>
      </c>
      <c r="M27" s="4">
        <f ca="1">Декабрь!$H27</f>
        <v>78453</v>
      </c>
      <c r="N27" s="4" cm="1">
        <f t="array" aca="1" ref="N27:Y27" ca="1">B27:M27</f>
        <v>69682</v>
      </c>
      <c r="O27" s="4">
        <f ca="1"/>
        <v>87762</v>
      </c>
      <c r="P27" s="4">
        <f ca="1"/>
        <v>78982</v>
      </c>
      <c r="Q27" s="4">
        <f ca="1"/>
        <v>68656</v>
      </c>
      <c r="R27" s="4">
        <f ca="1"/>
        <v>63017</v>
      </c>
      <c r="S27" s="4">
        <f ca="1"/>
        <v>67338</v>
      </c>
      <c r="T27" s="4">
        <f ca="1"/>
        <v>74441</v>
      </c>
      <c r="U27" s="4">
        <f ca="1"/>
        <v>68587</v>
      </c>
      <c r="V27" s="4">
        <f ca="1"/>
        <v>77538</v>
      </c>
      <c r="W27" s="4">
        <f ca="1"/>
        <v>64371</v>
      </c>
      <c r="X27" s="4">
        <f ca="1"/>
        <v>66409</v>
      </c>
      <c r="Y27" s="4">
        <f ca="1"/>
        <v>78453</v>
      </c>
    </row>
    <row r="28" spans="1:25" ht="15.75">
      <c r="A28" s="4" t="s">
        <v>37</v>
      </c>
      <c r="B28" s="4">
        <f>[1]Январь1!$H28</f>
        <v>54958</v>
      </c>
      <c r="C28" s="4">
        <f ca="1">Февраль!$H28</f>
        <v>69850</v>
      </c>
      <c r="D28" s="4">
        <f ca="1">Март!$H28</f>
        <v>51009</v>
      </c>
      <c r="E28" s="4">
        <f ca="1">Апрель!$H28</f>
        <v>57144</v>
      </c>
      <c r="F28" s="4">
        <f ca="1">Май!$H28</f>
        <v>52045</v>
      </c>
      <c r="G28" s="4">
        <f ca="1">Июнь!$H28</f>
        <v>47984</v>
      </c>
      <c r="H28" s="4">
        <f ca="1">Июль!$H28</f>
        <v>53129</v>
      </c>
      <c r="I28" s="4">
        <f ca="1">Август!$H28</f>
        <v>64251</v>
      </c>
      <c r="J28" s="4">
        <f ca="1">Сентябрь!$H28</f>
        <v>43861</v>
      </c>
      <c r="K28" s="4">
        <f ca="1">Октябрь!$H28</f>
        <v>52126</v>
      </c>
      <c r="L28" s="4">
        <f ca="1">Ноябрь!$H28</f>
        <v>45955</v>
      </c>
      <c r="M28" s="4">
        <f ca="1">Декабрь!$H28</f>
        <v>46291</v>
      </c>
      <c r="N28" s="4" cm="1">
        <f t="array" aca="1" ref="N28:Y28" ca="1">B28:M28</f>
        <v>54958</v>
      </c>
      <c r="O28" s="4">
        <f ca="1"/>
        <v>69850</v>
      </c>
      <c r="P28" s="4">
        <f ca="1"/>
        <v>51009</v>
      </c>
      <c r="Q28" s="4">
        <f ca="1"/>
        <v>57144</v>
      </c>
      <c r="R28" s="4">
        <f ca="1"/>
        <v>52045</v>
      </c>
      <c r="S28" s="4">
        <f ca="1"/>
        <v>47984</v>
      </c>
      <c r="T28" s="4">
        <f ca="1"/>
        <v>53129</v>
      </c>
      <c r="U28" s="4">
        <f ca="1"/>
        <v>64251</v>
      </c>
      <c r="V28" s="4">
        <f ca="1"/>
        <v>43861</v>
      </c>
      <c r="W28" s="4">
        <f ca="1"/>
        <v>52126</v>
      </c>
      <c r="X28" s="4">
        <f ca="1"/>
        <v>45955</v>
      </c>
      <c r="Y28" s="4">
        <f ca="1"/>
        <v>46291</v>
      </c>
    </row>
    <row r="29" spans="1:25" ht="15.75">
      <c r="A29" s="4" t="s">
        <v>38</v>
      </c>
      <c r="B29" s="4">
        <f>[1]Январь1!$H29</f>
        <v>32315</v>
      </c>
      <c r="C29" s="4">
        <f ca="1">Февраль!$H29</f>
        <v>68509</v>
      </c>
      <c r="D29" s="4">
        <f ca="1">Март!$H29</f>
        <v>57095</v>
      </c>
      <c r="E29" s="4">
        <f ca="1">Апрель!$H29</f>
        <v>42540</v>
      </c>
      <c r="F29" s="4">
        <f ca="1">Май!$H29</f>
        <v>29563</v>
      </c>
      <c r="G29" s="4">
        <f ca="1">Июнь!$H29</f>
        <v>33944</v>
      </c>
      <c r="H29" s="4">
        <f ca="1">Июль!$H29</f>
        <v>37869</v>
      </c>
      <c r="I29" s="4">
        <f ca="1">Август!$H29</f>
        <v>37271</v>
      </c>
      <c r="J29" s="4">
        <f ca="1">Сентябрь!$H29</f>
        <v>32456</v>
      </c>
      <c r="K29" s="4">
        <f ca="1">Октябрь!$H29</f>
        <v>34079</v>
      </c>
      <c r="L29" s="4">
        <f ca="1">Ноябрь!$H29</f>
        <v>37320</v>
      </c>
      <c r="M29" s="4">
        <f ca="1">Декабрь!$H29</f>
        <v>42722</v>
      </c>
      <c r="N29" s="4" cm="1">
        <f t="array" aca="1" ref="N29:Y29" ca="1">B29:M29</f>
        <v>32315</v>
      </c>
      <c r="O29" s="4">
        <f ca="1"/>
        <v>68509</v>
      </c>
      <c r="P29" s="4">
        <f ca="1"/>
        <v>57095</v>
      </c>
      <c r="Q29" s="4">
        <f ca="1"/>
        <v>42540</v>
      </c>
      <c r="R29" s="4">
        <f ca="1"/>
        <v>29563</v>
      </c>
      <c r="S29" s="4">
        <f ca="1"/>
        <v>33944</v>
      </c>
      <c r="T29" s="4">
        <f ca="1"/>
        <v>37869</v>
      </c>
      <c r="U29" s="4">
        <f ca="1"/>
        <v>37271</v>
      </c>
      <c r="V29" s="4">
        <f ca="1"/>
        <v>32456</v>
      </c>
      <c r="W29" s="4">
        <f ca="1"/>
        <v>34079</v>
      </c>
      <c r="X29" s="4">
        <f ca="1"/>
        <v>37320</v>
      </c>
      <c r="Y29" s="4">
        <f ca="1"/>
        <v>42722</v>
      </c>
    </row>
    <row r="30" spans="1:25" ht="15.75">
      <c r="A30" s="4" t="s">
        <v>39</v>
      </c>
      <c r="B30" s="4">
        <f>[1]Январь1!$H30</f>
        <v>74776</v>
      </c>
      <c r="C30" s="4">
        <f ca="1">Февраль!$H30</f>
        <v>88884</v>
      </c>
      <c r="D30" s="4">
        <f ca="1">Март!$H30</f>
        <v>78772</v>
      </c>
      <c r="E30" s="4">
        <f ca="1">Апрель!$H30</f>
        <v>70690</v>
      </c>
      <c r="F30" s="4">
        <f ca="1">Май!$H30</f>
        <v>67161</v>
      </c>
      <c r="G30" s="4">
        <f ca="1">Июнь!$H30</f>
        <v>69276</v>
      </c>
      <c r="H30" s="4">
        <f ca="1">Июль!$H30</f>
        <v>67441</v>
      </c>
      <c r="I30" s="4">
        <f ca="1">Август!$H30</f>
        <v>63515</v>
      </c>
      <c r="J30" s="4">
        <f ca="1">Сентябрь!$H30</f>
        <v>69307</v>
      </c>
      <c r="K30" s="4">
        <f ca="1">Октябрь!$H30</f>
        <v>61813</v>
      </c>
      <c r="L30" s="4">
        <f ca="1">Ноябрь!$H30</f>
        <v>81905</v>
      </c>
      <c r="M30" s="4">
        <f ca="1">Декабрь!$H30</f>
        <v>79128</v>
      </c>
      <c r="N30" s="4" cm="1">
        <f t="array" aca="1" ref="N30:Y30" ca="1">B30:M30</f>
        <v>74776</v>
      </c>
      <c r="O30" s="4">
        <f ca="1"/>
        <v>88884</v>
      </c>
      <c r="P30" s="4">
        <f ca="1"/>
        <v>78772</v>
      </c>
      <c r="Q30" s="4">
        <f ca="1"/>
        <v>70690</v>
      </c>
      <c r="R30" s="4">
        <f ca="1"/>
        <v>67161</v>
      </c>
      <c r="S30" s="4">
        <f ca="1"/>
        <v>69276</v>
      </c>
      <c r="T30" s="4">
        <f ca="1"/>
        <v>67441</v>
      </c>
      <c r="U30" s="4">
        <f ca="1"/>
        <v>63515</v>
      </c>
      <c r="V30" s="4">
        <f ca="1"/>
        <v>69307</v>
      </c>
      <c r="W30" s="4">
        <f ca="1"/>
        <v>61813</v>
      </c>
      <c r="X30" s="4">
        <f ca="1"/>
        <v>81905</v>
      </c>
      <c r="Y30" s="4">
        <f ca="1"/>
        <v>79128</v>
      </c>
    </row>
    <row r="31" spans="1:25" ht="15.75">
      <c r="A31" s="4" t="s">
        <v>40</v>
      </c>
      <c r="B31" s="4">
        <f>[1]Январь1!$H31</f>
        <v>59971</v>
      </c>
      <c r="C31" s="4">
        <f ca="1">Февраль!$H31</f>
        <v>84595</v>
      </c>
      <c r="D31" s="4">
        <f ca="1">Март!$H31</f>
        <v>64610</v>
      </c>
      <c r="E31" s="4">
        <f ca="1">Апрель!$H31</f>
        <v>64517</v>
      </c>
      <c r="F31" s="4">
        <f ca="1">Май!$H31</f>
        <v>56441</v>
      </c>
      <c r="G31" s="4">
        <f ca="1">Июнь!$H31</f>
        <v>66116</v>
      </c>
      <c r="H31" s="4">
        <f ca="1">Июль!$H31</f>
        <v>70115</v>
      </c>
      <c r="I31" s="4">
        <f ca="1">Август!$H31</f>
        <v>61001</v>
      </c>
      <c r="J31" s="4">
        <f ca="1">Сентябрь!$H31</f>
        <v>73736</v>
      </c>
      <c r="K31" s="4">
        <f ca="1">Октябрь!$H31</f>
        <v>64970</v>
      </c>
      <c r="L31" s="4">
        <f ca="1">Ноябрь!$H31</f>
        <v>76176</v>
      </c>
      <c r="M31" s="4">
        <f ca="1">Декабрь!$H31</f>
        <v>57880</v>
      </c>
      <c r="N31" s="4" cm="1">
        <f t="array" aca="1" ref="N31:Y31" ca="1">B31:M31</f>
        <v>59971</v>
      </c>
      <c r="O31" s="4">
        <f ca="1"/>
        <v>84595</v>
      </c>
      <c r="P31" s="4">
        <f ca="1"/>
        <v>64610</v>
      </c>
      <c r="Q31" s="4">
        <f ca="1"/>
        <v>64517</v>
      </c>
      <c r="R31" s="4">
        <f ca="1"/>
        <v>56441</v>
      </c>
      <c r="S31" s="4">
        <f ca="1"/>
        <v>66116</v>
      </c>
      <c r="T31" s="4">
        <f ca="1"/>
        <v>70115</v>
      </c>
      <c r="U31" s="4">
        <f ca="1"/>
        <v>61001</v>
      </c>
      <c r="V31" s="4">
        <f ca="1"/>
        <v>73736</v>
      </c>
      <c r="W31" s="4">
        <f ca="1"/>
        <v>64970</v>
      </c>
      <c r="X31" s="4">
        <f ca="1"/>
        <v>76176</v>
      </c>
      <c r="Y31" s="4">
        <f ca="1"/>
        <v>57880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Январь1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  <vt:lpstr>Итоги за год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Курипко Артём Максимович</dc:creator>
  <cp:lastModifiedBy>1</cp:lastModifiedBy>
  <dcterms:created xsi:type="dcterms:W3CDTF">2026-10-26T05:06:17Z</dcterms:created>
  <dcterms:modified xsi:type="dcterms:W3CDTF">2026-10-30T13:59:08Z</dcterms:modified>
</cp:coreProperties>
</file>